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Verrazano\Acedemic\Research\Battery-Charger\Battery Charger Project\Excel\BOM\"/>
    </mc:Choice>
  </mc:AlternateContent>
  <xr:revisionPtr revIDLastSave="0" documentId="13_ncr:1_{199AE061-4643-4FFD-ACB7-A10735BD8D0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" i="1" l="1"/>
  <c r="H6" i="1"/>
  <c r="H3" i="1"/>
  <c r="H2" i="1"/>
  <c r="H5" i="1"/>
</calcChain>
</file>

<file path=xl/sharedStrings.xml><?xml version="1.0" encoding="utf-8"?>
<sst xmlns="http://schemas.openxmlformats.org/spreadsheetml/2006/main" count="28" uniqueCount="28">
  <si>
    <t>item use</t>
  </si>
  <si>
    <t>Item description</t>
  </si>
  <si>
    <t>product number</t>
  </si>
  <si>
    <t>vendor</t>
  </si>
  <si>
    <t>quantity</t>
  </si>
  <si>
    <t>unit price</t>
  </si>
  <si>
    <t>Total cost</t>
  </si>
  <si>
    <t>link</t>
  </si>
  <si>
    <t>LC200-0185</t>
  </si>
  <si>
    <t>437uH GE Inductor (Already in lab)</t>
  </si>
  <si>
    <t>DigiKey</t>
  </si>
  <si>
    <t>CAP ALUM 560UF 20% 200V SNAP TH</t>
  </si>
  <si>
    <t>493-8516-ND</t>
  </si>
  <si>
    <t>https://www.digikey.com/en/products/detail/nichicon/LGW2D561MELA30/1966872</t>
  </si>
  <si>
    <t>Bridge Rectifiers 200V 30A Power Diode Discretes-FRED i4-Pac</t>
  </si>
  <si>
    <t>DPF30U200FC</t>
  </si>
  <si>
    <t>MOUSER</t>
  </si>
  <si>
    <t>https://www.mouser.com/en/ProductDetail/IXYS/DPF30U200FC?qs=rQFj71Wb1eWHztVyBgjseQ%3D%3D</t>
  </si>
  <si>
    <t>Rectifier Capacitor</t>
  </si>
  <si>
    <t>Buck Inductor</t>
  </si>
  <si>
    <t>Three Phase Rectifier</t>
  </si>
  <si>
    <t>Buck Capacitor</t>
  </si>
  <si>
    <t>MOSFET</t>
  </si>
  <si>
    <t>Diode</t>
  </si>
  <si>
    <t>MBR10200_T0_00001</t>
  </si>
  <si>
    <t>DIODE SCHOTTKY 200V 10A TO220AC</t>
  </si>
  <si>
    <t>DigikKey</t>
  </si>
  <si>
    <t>https://www.digikey.com/en/products/detail/panjit-international-inc/MBR10200-T0-00001/15799461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</si>
</sst>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7"/>
      <color rgb="FF22222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7">
    <xf numFmtId="0" fontId="0" fillId="0" borderId="0" xfId="0"/>
    <xf numFmtId="0" fontId="1" fillId="0" borderId="0" xfId="1"/>
    <xf numFmtId="0" fontId="0" fillId="2" borderId="0" xfId="0" applyFill="1"/>
    <xf numFmtId="2" fontId="0" fillId="0" borderId="0" xfId="0" applyNumberFormat="1"/>
    <xf numFmtId="49" fontId="0" fillId="2" borderId="0" xfId="0" applyNumberFormat="1" applyFill="1"/>
    <xf numFmtId="0" fontId="1" fillId="2" borderId="0" xfId="1" applyFill="1"/>
    <xf numFmtId="0" fontId="2" fillId="2" borderId="0" xfId="0" applyFont="1" applyFill="1"/>
  </cellXfs>
  <cellStyles count="2">
    <cellStyle name="Hyperlink" xfId="1" builtinId="8"/>
    <cellStyle name="Normal" xfId="0" builtinId="0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E2F4241-DD34-429E-8619-5EC72E0D5702}" name="Table1" displayName="Table1" ref="A1:H7" totalsRowShown="0">
  <autoFilter ref="A1:H7" xr:uid="{BE2F4241-DD34-429E-8619-5EC72E0D5702}"/>
  <tableColumns count="8">
    <tableColumn id="7" xr3:uid="{753B9BB0-B725-40B1-B016-495A15E17260}" name="item use"/>
    <tableColumn id="1" xr3:uid="{C3813DDA-4FC9-4A06-81E6-4B3D0E0DB3F4}" name="Item description"/>
    <tableColumn id="2" xr3:uid="{0F29471E-8450-4076-A11B-42E60513268E}" name="product number"/>
    <tableColumn id="3" xr3:uid="{5235EA40-33F9-4337-B7AF-72A732137026}" name="vendor"/>
    <tableColumn id="8" xr3:uid="{E9AD782F-B631-439F-8AEA-B1DBE224FC4B}" name="link"/>
    <tableColumn id="4" xr3:uid="{F817B8B8-F62B-4AED-A59D-A4A7A27FEF20}" name="quantity"/>
    <tableColumn id="5" xr3:uid="{667F21B1-6936-4832-9511-B62ACA607FAB}" name="unit price"/>
    <tableColumn id="6" xr3:uid="{F093F0CF-BEF4-46EF-A09E-6030BDB5EDEC}" name="Total cost" dataDxfId="0">
      <calculatedColumnFormula>F2*G2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digikey.com/en/products/detail/panjit-international-inc/MBR10200-T0-00001/15799461" TargetMode="External"/><Relationship Id="rId2" Type="http://schemas.openxmlformats.org/officeDocument/2006/relationships/hyperlink" Target="https://www.mouser.com/en/ProductDetail/IXYS/DPF30U200FC?qs=rQFj71Wb1eWHztVyBgjseQ%3D%3D" TargetMode="External"/><Relationship Id="rId1" Type="http://schemas.openxmlformats.org/officeDocument/2006/relationships/hyperlink" Target="https://www.digikey.com/en/products/detail/nichicon/LGW2D561MELA30/1966872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1"/>
  <sheetViews>
    <sheetView tabSelected="1" zoomScaleNormal="100" workbookViewId="0">
      <selection activeCell="J7" sqref="J7"/>
    </sheetView>
  </sheetViews>
  <sheetFormatPr defaultRowHeight="14.4" x14ac:dyDescent="0.3"/>
  <cols>
    <col min="1" max="1" width="18" bestFit="1" customWidth="1"/>
    <col min="2" max="2" width="52.5546875" bestFit="1" customWidth="1"/>
    <col min="3" max="3" width="17.109375" bestFit="1" customWidth="1"/>
    <col min="4" max="4" width="19.33203125" bestFit="1" customWidth="1"/>
    <col min="5" max="5" width="98.44140625" bestFit="1" customWidth="1"/>
    <col min="6" max="6" width="10.44140625" customWidth="1"/>
    <col min="7" max="7" width="11" customWidth="1"/>
    <col min="8" max="8" width="11.33203125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7</v>
      </c>
      <c r="F1" t="s">
        <v>4</v>
      </c>
      <c r="G1" t="s">
        <v>5</v>
      </c>
      <c r="H1" t="s">
        <v>6</v>
      </c>
    </row>
    <row r="2" spans="1:8" x14ac:dyDescent="0.3">
      <c r="A2" t="s">
        <v>18</v>
      </c>
      <c r="B2" t="s">
        <v>11</v>
      </c>
      <c r="C2" t="s">
        <v>12</v>
      </c>
      <c r="D2" t="s">
        <v>10</v>
      </c>
      <c r="E2" s="1" t="s">
        <v>13</v>
      </c>
      <c r="F2">
        <v>4</v>
      </c>
      <c r="G2">
        <v>5.25</v>
      </c>
      <c r="H2">
        <f>Table1[[#This Row],[quantity]]*Table1[[#This Row],[unit price]]</f>
        <v>21</v>
      </c>
    </row>
    <row r="3" spans="1:8" x14ac:dyDescent="0.3">
      <c r="A3" t="s">
        <v>20</v>
      </c>
      <c r="B3" t="s">
        <v>14</v>
      </c>
      <c r="C3" t="s">
        <v>15</v>
      </c>
      <c r="D3" t="s">
        <v>16</v>
      </c>
      <c r="E3" s="1" t="s">
        <v>17</v>
      </c>
      <c r="F3">
        <v>1</v>
      </c>
      <c r="G3">
        <v>20.09</v>
      </c>
      <c r="H3">
        <f>Table1[[#This Row],[quantity]]*Table1[[#This Row],[unit price]]</f>
        <v>20.09</v>
      </c>
    </row>
    <row r="4" spans="1:8" x14ac:dyDescent="0.3">
      <c r="A4" t="s">
        <v>19</v>
      </c>
      <c r="B4" t="s">
        <v>9</v>
      </c>
      <c r="C4" t="s">
        <v>8</v>
      </c>
      <c r="F4">
        <v>1</v>
      </c>
    </row>
    <row r="5" spans="1:8" x14ac:dyDescent="0.3">
      <c r="A5" t="s">
        <v>21</v>
      </c>
      <c r="H5">
        <f>F5*G5</f>
        <v>0</v>
      </c>
    </row>
    <row r="6" spans="1:8" x14ac:dyDescent="0.3">
      <c r="A6" t="s">
        <v>22</v>
      </c>
      <c r="H6">
        <f>F6*G6</f>
        <v>0</v>
      </c>
    </row>
    <row r="7" spans="1:8" x14ac:dyDescent="0.3">
      <c r="A7" t="s">
        <v>23</v>
      </c>
      <c r="B7" t="s">
        <v>25</v>
      </c>
      <c r="C7" t="s">
        <v>24</v>
      </c>
      <c r="D7" t="s">
        <v>26</v>
      </c>
      <c r="E7" s="1" t="s">
        <v>27</v>
      </c>
      <c r="F7">
        <v>1</v>
      </c>
      <c r="G7">
        <v>1.29</v>
      </c>
      <c r="H7">
        <f>F7*G7</f>
        <v>1.29</v>
      </c>
    </row>
    <row r="9" spans="1:8" x14ac:dyDescent="0.3">
      <c r="A9" s="2"/>
      <c r="B9" s="2"/>
      <c r="C9" s="2"/>
      <c r="D9" s="2"/>
      <c r="E9" s="2"/>
      <c r="F9" s="2"/>
      <c r="G9" s="2"/>
      <c r="H9" s="2"/>
    </row>
    <row r="10" spans="1:8" x14ac:dyDescent="0.3">
      <c r="E10" s="1"/>
      <c r="G10" s="3"/>
    </row>
    <row r="11" spans="1:8" x14ac:dyDescent="0.3">
      <c r="A11" s="2"/>
      <c r="B11" s="2"/>
      <c r="C11" s="4"/>
      <c r="D11" s="2"/>
      <c r="E11" s="5"/>
      <c r="F11" s="2"/>
      <c r="G11" s="6"/>
      <c r="H11" s="2"/>
    </row>
  </sheetData>
  <hyperlinks>
    <hyperlink ref="E2" r:id="rId1" xr:uid="{E649B2B9-16DE-4CDD-9A8C-155AEF881E8C}"/>
    <hyperlink ref="E3" r:id="rId2" xr:uid="{1547E749-6240-43E7-A08B-467B1DD3808B}"/>
    <hyperlink ref="E7" r:id="rId3" xr:uid="{DF8A8B79-7C2D-442E-AB3C-366F8EF73C57}"/>
  </hyperlinks>
  <pageMargins left="0.7" right="0.7" top="0.75" bottom="0.75" header="0.3" footer="0.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Verrazano</dc:creator>
  <cp:lastModifiedBy>Sgroi, Zano</cp:lastModifiedBy>
  <dcterms:created xsi:type="dcterms:W3CDTF">2015-06-05T18:17:20Z</dcterms:created>
  <dcterms:modified xsi:type="dcterms:W3CDTF">2026-09-18T00:32:49Z</dcterms:modified>
</cp:coreProperties>
</file>