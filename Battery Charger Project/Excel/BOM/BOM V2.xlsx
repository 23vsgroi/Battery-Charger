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BOM\"/>
    </mc:Choice>
  </mc:AlternateContent>
  <xr:revisionPtr revIDLastSave="0" documentId="13_ncr:1_{BBB1B8A6-DC75-4A82-A7A3-0F5705D0E804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13" i="1"/>
  <c r="I3" i="1"/>
  <c r="I4" i="1"/>
  <c r="I5" i="1"/>
  <c r="I6" i="1"/>
  <c r="I7" i="1"/>
  <c r="I8" i="1"/>
  <c r="I9" i="1"/>
  <c r="I10" i="1"/>
  <c r="I11" i="1"/>
  <c r="I12" i="1"/>
  <c r="I14" i="1" l="1" a="1"/>
  <c r="I14" i="1" s="1"/>
  <c r="I1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<sst xmlns="http://schemas.openxmlformats.org/spreadsheetml/2006/main" count="64" uniqueCount="57">
  <si>
    <t>item use</t>
  </si>
  <si>
    <t>Item description</t>
  </si>
  <si>
    <t>product number</t>
  </si>
  <si>
    <t>vendor</t>
  </si>
  <si>
    <t>unit price</t>
  </si>
  <si>
    <t>Total cost</t>
  </si>
  <si>
    <t>link</t>
  </si>
  <si>
    <t>LC200-0185</t>
  </si>
  <si>
    <t>437uH GE Inductor (Already in lab)</t>
  </si>
  <si>
    <t>DigiKey</t>
  </si>
  <si>
    <t>CAP ALUM 560UF 20% 200V SNAP TH</t>
  </si>
  <si>
    <t>493-8516-ND</t>
  </si>
  <si>
    <t>https://www.digikey.com/en/products/detail/nichicon/LGW2D561MELA30/1966872</t>
  </si>
  <si>
    <t>Bridge Rectifiers 200V 30A Power Diode Discretes-FRED i4-Pac</t>
  </si>
  <si>
    <t>DPF30U200FC</t>
  </si>
  <si>
    <t>MOUSER</t>
  </si>
  <si>
    <t>https://www.mouser.com/en/ProductDetail/IXYS/DPF30U200FC?qs=rQFj71Wb1eWHztVyBgjseQ%3D%3D</t>
  </si>
  <si>
    <t>Rectifier Capacitor</t>
  </si>
  <si>
    <t>Buck Inductor</t>
  </si>
  <si>
    <t>Three Phase Rectifier</t>
  </si>
  <si>
    <t>Buck Capacitor</t>
  </si>
  <si>
    <t>MOSFET</t>
  </si>
  <si>
    <t>Diode</t>
  </si>
  <si>
    <t>MBR10200_T0_00001</t>
  </si>
  <si>
    <t>DIODE SCHOTTKY 200V 10A TO220AC</t>
  </si>
  <si>
    <t>https://www.digikey.com/en/products/detail/panjit-international-inc/MBR10200-T0-00001/15799461</t>
  </si>
  <si>
    <t>10 µF 50 V Aluminum Electrolytic Capacitors Radial, Can 5000 Hrs @ 105°C</t>
  </si>
  <si>
    <t>EEU-FR1H100</t>
  </si>
  <si>
    <t>https://www.digikey.com/en/products/detail/panasonic-industry/EEU-FR1H100/9921028</t>
  </si>
  <si>
    <t>MOSFET N-CH 200V 12A TO220AB</t>
  </si>
  <si>
    <t>IRF200B211</t>
  </si>
  <si>
    <t>IRF200B211 Infineon Technologies | Single FETs, MOSFETs | DigiKey</t>
  </si>
  <si>
    <t>Current sense IC</t>
  </si>
  <si>
    <t>CURRENT SENSOR HE 10-SOIC</t>
  </si>
  <si>
    <t>TMCS1133C5AQDVGR</t>
  </si>
  <si>
    <t>https://www.digikey.com/en/products/detail/texas-instruments/TMCS1133C5AQDVGR/23331381</t>
  </si>
  <si>
    <t>Generator conn</t>
  </si>
  <si>
    <t>TERM BLK 3POS SIDE ENTRY 5MM PCB</t>
  </si>
  <si>
    <t>Battery conn</t>
  </si>
  <si>
    <t>TERM BLK 2POS SIDE ENT 3.5MM PCB</t>
  </si>
  <si>
    <t>284391-2</t>
  </si>
  <si>
    <t>https://www.digikey.com/en/products/detail/te-connectivity-amp-connectors/284391-2/1827021</t>
  </si>
  <si>
    <t>Signal conn</t>
  </si>
  <si>
    <t>TERM BLK 3POS SIDE ENT 3.5MM PCB</t>
  </si>
  <si>
    <t>284391-3</t>
  </si>
  <si>
    <t>https://www.digikey.com/en/products/detail/te-connectivity-amp-connectors/284391-3/1827022</t>
  </si>
  <si>
    <t>MISC</t>
  </si>
  <si>
    <t>Voltage divider resistiors and decoupling capacitors</t>
  </si>
  <si>
    <t>Quantity</t>
  </si>
  <si>
    <t>min quantity</t>
  </si>
  <si>
    <t>PCBs</t>
  </si>
  <si>
    <t>5 pack</t>
  </si>
  <si>
    <t>TOTAL</t>
  </si>
  <si>
    <t>ERROR MARGIN</t>
  </si>
  <si>
    <t>25% budget error margin</t>
  </si>
  <si>
    <t>277-1578-ND</t>
  </si>
  <si>
    <t>https://www.digikey.com/en/products/detail/phoenix-contact/1935174/568615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</si>
</sst>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2" borderId="0" xfId="0" applyFill="1"/>
    <xf numFmtId="2" fontId="0" fillId="0" borderId="0" xfId="0" applyNumberFormat="1"/>
    <xf numFmtId="49" fontId="0" fillId="2" borderId="0" xfId="0" applyNumberFormat="1" applyFill="1"/>
    <xf numFmtId="0" fontId="1" fillId="2" borderId="0" xfId="1" applyFill="1"/>
    <xf numFmtId="164" fontId="0" fillId="0" borderId="0" xfId="0" applyNumberFormat="1"/>
    <xf numFmtId="0" fontId="0" fillId="0" borderId="1" xfId="0" applyBorder="1"/>
    <xf numFmtId="0" fontId="2" fillId="0" borderId="2" xfId="0" applyFont="1" applyBorder="1"/>
    <xf numFmtId="164" fontId="2" fillId="0" borderId="2" xfId="0" applyNumberFormat="1" applyFont="1" applyBorder="1"/>
    <xf numFmtId="0" fontId="2" fillId="0" borderId="1" xfId="0" applyFont="1" applyBorder="1"/>
    <xf numFmtId="164" fontId="0" fillId="0" borderId="1" xfId="0" applyNumberFormat="1" applyBorder="1"/>
  </cellXfs>
  <cellStyles count="2">
    <cellStyle name="Hyperlink" xfId="1" builtinId="8"/>
    <cellStyle name="Normal" xfId="0" builtinId="0"/>
  </cellStyles>
  <dxfs count="11">
    <dxf>
      <numFmt numFmtId="164" formatCode="&quot;$&quot;#,##0.00"/>
      <border diagonalUp="0" diagonalDown="0" outline="0">
        <left/>
        <right/>
        <top style="thin">
          <color theme="1"/>
        </top>
        <bottom/>
      </border>
    </dxf>
    <dxf>
      <border diagonalUp="0" diagonalDown="0" outline="0">
        <left/>
        <right/>
        <top style="thin">
          <color theme="1"/>
        </top>
        <bottom/>
      </border>
    </dxf>
    <dxf>
      <border diagonalUp="0" diagonalDown="0" outline="0">
        <left/>
        <right/>
        <top style="thin">
          <color theme="1"/>
        </top>
        <bottom/>
      </border>
    </dxf>
    <dxf>
      <border diagonalUp="0" diagonalDown="0" outline="0">
        <left/>
        <right/>
        <top style="thin">
          <color theme="1"/>
        </top>
        <bottom/>
      </border>
    </dxf>
    <dxf>
      <border diagonalUp="0" diagonalDown="0" outline="0">
        <left/>
        <right/>
        <top style="thin">
          <color theme="1"/>
        </top>
        <bottom/>
      </border>
    </dxf>
    <dxf>
      <border diagonalUp="0" diagonalDown="0" outline="0">
        <left/>
        <right/>
        <top style="thin">
          <color theme="1"/>
        </top>
        <bottom/>
      </border>
    </dxf>
    <dxf>
      <border diagonalUp="0" diagonalDown="0" outline="0">
        <left/>
        <right/>
        <top style="thin">
          <color theme="1"/>
        </top>
        <bottom/>
      </border>
    </dxf>
    <dxf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/>
      </border>
    </dxf>
    <dxf>
      <numFmt numFmtId="164" formatCode="&quot;$&quot;#,##0.00"/>
    </dxf>
    <dxf>
      <border outline="0">
        <top style="thin">
          <color theme="1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2F4241-DD34-429E-8619-5EC72E0D5702}" name="Table1" displayName="Table1" ref="A1:I14" totalsRowCount="1" totalsRowBorderDxfId="10">
  <autoFilter ref="A1:I13" xr:uid="{BE2F4241-DD34-429E-8619-5EC72E0D5702}"/>
  <tableColumns count="9">
    <tableColumn id="7" xr3:uid="{753B9BB0-B725-40B1-B016-495A15E17260}" name="item use" totalsRowLabel="ERROR MARGIN" totalsRowDxfId="8"/>
    <tableColumn id="1" xr3:uid="{C3813DDA-4FC9-4A06-81E6-4B3D0E0DB3F4}" name="Item description" totalsRowLabel="25% budget error margin" totalsRowDxfId="7"/>
    <tableColumn id="2" xr3:uid="{0F29471E-8450-4076-A11B-42E60513268E}" name="product number" totalsRowDxfId="6"/>
    <tableColumn id="3" xr3:uid="{5235EA40-33F9-4337-B7AF-72A732137026}" name="vendor" totalsRowDxfId="5"/>
    <tableColumn id="8" xr3:uid="{E9AD782F-B631-439F-8AEA-B1DBE224FC4B}" name="link" totalsRowDxfId="4"/>
    <tableColumn id="4" xr3:uid="{F817B8B8-F62B-4AED-A59D-A4A7A27FEF20}" name="min quantity" totalsRowDxfId="3"/>
    <tableColumn id="9" xr3:uid="{A74ECAB5-6866-45FE-B92D-FDDFDD7BC604}" name="Quantity" totalsRowDxfId="2"/>
    <tableColumn id="5" xr3:uid="{667F21B1-6936-4832-9511-B62ACA607FAB}" name="unit price" totalsRowDxfId="1"/>
    <tableColumn id="6" xr3:uid="{F093F0CF-BEF4-46EF-A09E-6030BDB5EDEC}" name="Total cost" totalsRowFunction="custom" dataDxfId="9" totalsRowDxfId="0">
      <calculatedColumnFormula>F2*H2</calculatedColumnFormula>
      <totalsRowFormula array="1">SUM(I2:I12*0.25)</totalsRow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e-connectivity-amp-connectors/284391-2/1827021" TargetMode="External"/><Relationship Id="rId3" Type="http://schemas.openxmlformats.org/officeDocument/2006/relationships/hyperlink" Target="https://www.digikey.com/en/products/detail/panjit-international-inc/MBR10200-T0-00001/15799461" TargetMode="External"/><Relationship Id="rId7" Type="http://schemas.openxmlformats.org/officeDocument/2006/relationships/hyperlink" Target="https://www.digikey.com/en/products/detail/phoenix-contact/1935174/568615" TargetMode="External"/><Relationship Id="rId2" Type="http://schemas.openxmlformats.org/officeDocument/2006/relationships/hyperlink" Target="https://www.mouser.com/en/ProductDetail/IXYS/DPF30U200FC?qs=rQFj71Wb1eWHztVyBgjseQ%3D%3D" TargetMode="External"/><Relationship Id="rId1" Type="http://schemas.openxmlformats.org/officeDocument/2006/relationships/hyperlink" Target="https://www.digikey.com/en/products/detail/nichicon/LGW2D561MELA30/1966872" TargetMode="External"/><Relationship Id="rId6" Type="http://schemas.openxmlformats.org/officeDocument/2006/relationships/hyperlink" Target="https://www.digikey.com/en/products/detail/texas-instruments/TMCS1133C5AQDVGR/23331381" TargetMode="External"/><Relationship Id="rId5" Type="http://schemas.openxmlformats.org/officeDocument/2006/relationships/hyperlink" Target="https://www.digikey.com/en/products/detail/infineon-technologies/IRF200B211/5250541" TargetMode="External"/><Relationship Id="rId10" Type="http://schemas.openxmlformats.org/officeDocument/2006/relationships/table" Target="../tables/table1.xml"/><Relationship Id="rId4" Type="http://schemas.openxmlformats.org/officeDocument/2006/relationships/hyperlink" Target="https://www.digikey.com/en/products/detail/panasonic-industry/EEU-FR1H100/9921028" TargetMode="External"/><Relationship Id="rId9" Type="http://schemas.openxmlformats.org/officeDocument/2006/relationships/hyperlink" Target="https://www.digikey.com/en/products/detail/te-connectivity-amp-connectors/284391-3/182702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"/>
  <sheetViews>
    <sheetView tabSelected="1" topLeftCell="B1" zoomScale="70" zoomScaleNormal="70" workbookViewId="0">
      <selection activeCell="E9" sqref="E9"/>
    </sheetView>
  </sheetViews>
  <sheetFormatPr defaultRowHeight="14.4" x14ac:dyDescent="0.3"/>
  <cols>
    <col min="1" max="1" width="21" bestFit="1" customWidth="1"/>
    <col min="2" max="2" width="66.5546875" bestFit="1" customWidth="1"/>
    <col min="3" max="4" width="19.33203125" bestFit="1" customWidth="1"/>
    <col min="5" max="5" width="98.44140625" bestFit="1" customWidth="1"/>
    <col min="6" max="6" width="14.5546875" bestFit="1" customWidth="1"/>
    <col min="7" max="7" width="17.6640625" bestFit="1" customWidth="1"/>
    <col min="8" max="8" width="11" customWidth="1"/>
    <col min="9" max="9" width="11.88671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6</v>
      </c>
      <c r="F1" t="s">
        <v>49</v>
      </c>
      <c r="G1" t="s">
        <v>48</v>
      </c>
      <c r="H1" t="s">
        <v>4</v>
      </c>
      <c r="I1" t="s">
        <v>5</v>
      </c>
    </row>
    <row r="2" spans="1:9" x14ac:dyDescent="0.3">
      <c r="A2" t="s">
        <v>17</v>
      </c>
      <c r="B2" t="s">
        <v>10</v>
      </c>
      <c r="C2" t="s">
        <v>11</v>
      </c>
      <c r="D2" t="s">
        <v>9</v>
      </c>
      <c r="E2" s="1" t="s">
        <v>12</v>
      </c>
      <c r="F2">
        <v>4</v>
      </c>
      <c r="G2" s="1">
        <v>10</v>
      </c>
      <c r="H2">
        <v>3.61</v>
      </c>
      <c r="I2" s="6">
        <f>Table1[[#This Row],[unit price]]*Table1[[#This Row],[Quantity]]</f>
        <v>36.1</v>
      </c>
    </row>
    <row r="3" spans="1:9" x14ac:dyDescent="0.3">
      <c r="A3" t="s">
        <v>19</v>
      </c>
      <c r="B3" t="s">
        <v>13</v>
      </c>
      <c r="C3" t="s">
        <v>14</v>
      </c>
      <c r="D3" t="s">
        <v>15</v>
      </c>
      <c r="E3" s="1" t="s">
        <v>16</v>
      </c>
      <c r="F3">
        <v>1</v>
      </c>
      <c r="G3" s="1">
        <v>3</v>
      </c>
      <c r="H3">
        <v>20.09</v>
      </c>
      <c r="I3" s="6">
        <f>Table1[[#This Row],[unit price]]*Table1[[#This Row],[Quantity]]</f>
        <v>60.269999999999996</v>
      </c>
    </row>
    <row r="4" spans="1:9" x14ac:dyDescent="0.3">
      <c r="A4" t="s">
        <v>18</v>
      </c>
      <c r="B4" t="s">
        <v>8</v>
      </c>
      <c r="C4" t="s">
        <v>7</v>
      </c>
      <c r="F4">
        <v>1</v>
      </c>
      <c r="I4" s="6">
        <f>Table1[[#This Row],[unit price]]*Table1[[#This Row],[Quantity]]</f>
        <v>0</v>
      </c>
    </row>
    <row r="5" spans="1:9" x14ac:dyDescent="0.3">
      <c r="A5" t="s">
        <v>20</v>
      </c>
      <c r="B5" t="s">
        <v>26</v>
      </c>
      <c r="C5" t="s">
        <v>27</v>
      </c>
      <c r="D5" t="s">
        <v>9</v>
      </c>
      <c r="E5" s="1" t="s">
        <v>28</v>
      </c>
      <c r="F5">
        <v>1</v>
      </c>
      <c r="G5" s="1">
        <v>20</v>
      </c>
      <c r="H5">
        <v>0.25</v>
      </c>
      <c r="I5" s="6">
        <f>Table1[[#This Row],[unit price]]*Table1[[#This Row],[Quantity]]</f>
        <v>5</v>
      </c>
    </row>
    <row r="6" spans="1:9" x14ac:dyDescent="0.3">
      <c r="A6" t="s">
        <v>21</v>
      </c>
      <c r="B6" t="s">
        <v>29</v>
      </c>
      <c r="C6" t="s">
        <v>30</v>
      </c>
      <c r="D6" t="s">
        <v>9</v>
      </c>
      <c r="E6" s="1" t="s">
        <v>31</v>
      </c>
      <c r="F6">
        <v>1</v>
      </c>
      <c r="G6" s="1">
        <v>5</v>
      </c>
      <c r="H6">
        <v>2.23</v>
      </c>
      <c r="I6" s="6">
        <f>Table1[[#This Row],[unit price]]*Table1[[#This Row],[Quantity]]</f>
        <v>11.15</v>
      </c>
    </row>
    <row r="7" spans="1:9" x14ac:dyDescent="0.3">
      <c r="A7" t="s">
        <v>22</v>
      </c>
      <c r="B7" t="s">
        <v>24</v>
      </c>
      <c r="C7" t="s">
        <v>23</v>
      </c>
      <c r="D7" t="s">
        <v>9</v>
      </c>
      <c r="E7" s="1" t="s">
        <v>25</v>
      </c>
      <c r="F7">
        <v>1</v>
      </c>
      <c r="G7" s="1">
        <v>10</v>
      </c>
      <c r="H7">
        <v>0.8</v>
      </c>
      <c r="I7" s="6">
        <f>Table1[[#This Row],[unit price]]*Table1[[#This Row],[Quantity]]</f>
        <v>8</v>
      </c>
    </row>
    <row r="8" spans="1:9" x14ac:dyDescent="0.3">
      <c r="A8" t="s">
        <v>32</v>
      </c>
      <c r="B8" t="s">
        <v>33</v>
      </c>
      <c r="C8" t="s">
        <v>34</v>
      </c>
      <c r="D8" t="s">
        <v>9</v>
      </c>
      <c r="E8" s="1" t="s">
        <v>35</v>
      </c>
      <c r="F8">
        <v>1</v>
      </c>
      <c r="G8" s="1">
        <v>5</v>
      </c>
      <c r="H8">
        <v>4.07</v>
      </c>
      <c r="I8" s="6">
        <f>Table1[[#This Row],[unit price]]*Table1[[#This Row],[Quantity]]</f>
        <v>20.350000000000001</v>
      </c>
    </row>
    <row r="9" spans="1:9" x14ac:dyDescent="0.3">
      <c r="A9" s="2" t="s">
        <v>36</v>
      </c>
      <c r="B9" s="2" t="s">
        <v>37</v>
      </c>
      <c r="C9" s="2" t="s">
        <v>55</v>
      </c>
      <c r="D9" t="s">
        <v>9</v>
      </c>
      <c r="E9" s="5" t="s">
        <v>56</v>
      </c>
      <c r="F9" s="2">
        <v>1</v>
      </c>
      <c r="G9" s="5">
        <v>5</v>
      </c>
      <c r="H9" s="2">
        <v>0.72</v>
      </c>
      <c r="I9" s="6">
        <f>Table1[[#This Row],[unit price]]*Table1[[#This Row],[Quantity]]</f>
        <v>3.5999999999999996</v>
      </c>
    </row>
    <row r="10" spans="1:9" x14ac:dyDescent="0.3">
      <c r="A10" t="s">
        <v>38</v>
      </c>
      <c r="B10" t="s">
        <v>39</v>
      </c>
      <c r="C10" t="s">
        <v>40</v>
      </c>
      <c r="D10" t="s">
        <v>9</v>
      </c>
      <c r="E10" s="1" t="s">
        <v>41</v>
      </c>
      <c r="F10">
        <v>4</v>
      </c>
      <c r="G10" s="1">
        <v>10</v>
      </c>
      <c r="H10" s="3">
        <v>0.94</v>
      </c>
      <c r="I10" s="6">
        <f>Table1[[#This Row],[unit price]]*Table1[[#This Row],[Quantity]]</f>
        <v>9.3999999999999986</v>
      </c>
    </row>
    <row r="11" spans="1:9" x14ac:dyDescent="0.3">
      <c r="A11" s="2" t="s">
        <v>42</v>
      </c>
      <c r="B11" s="2" t="s">
        <v>43</v>
      </c>
      <c r="C11" s="4" t="s">
        <v>44</v>
      </c>
      <c r="D11" t="s">
        <v>9</v>
      </c>
      <c r="E11" s="5" t="s">
        <v>45</v>
      </c>
      <c r="F11" s="2">
        <v>1</v>
      </c>
      <c r="G11" s="5">
        <v>5</v>
      </c>
      <c r="H11" s="3">
        <v>1.78</v>
      </c>
      <c r="I11" s="6">
        <f>Table1[[#This Row],[unit price]]*Table1[[#This Row],[Quantity]]</f>
        <v>8.9</v>
      </c>
    </row>
    <row r="12" spans="1:9" x14ac:dyDescent="0.3">
      <c r="A12" t="s">
        <v>50</v>
      </c>
      <c r="B12" t="s">
        <v>51</v>
      </c>
      <c r="F12">
        <v>1</v>
      </c>
      <c r="G12">
        <v>1</v>
      </c>
      <c r="H12">
        <v>70</v>
      </c>
      <c r="I12" s="6">
        <f>Table1[[#This Row],[unit price]]*Table1[[#This Row],[Quantity]]</f>
        <v>70</v>
      </c>
    </row>
    <row r="13" spans="1:9" x14ac:dyDescent="0.3">
      <c r="A13" t="s">
        <v>46</v>
      </c>
      <c r="B13" t="s">
        <v>47</v>
      </c>
      <c r="F13">
        <v>1</v>
      </c>
      <c r="H13">
        <v>10</v>
      </c>
      <c r="I13" s="6">
        <f>F13*H13</f>
        <v>10</v>
      </c>
    </row>
    <row r="14" spans="1:9" x14ac:dyDescent="0.3">
      <c r="A14" s="10" t="s">
        <v>53</v>
      </c>
      <c r="B14" s="7" t="s">
        <v>54</v>
      </c>
      <c r="C14" s="7"/>
      <c r="D14" s="7"/>
      <c r="E14" s="7"/>
      <c r="F14" s="7"/>
      <c r="G14" s="7"/>
      <c r="H14" s="7"/>
      <c r="I14" s="11" cm="1">
        <f t="array" ref="I14">SUM(I2:I12*0.25)</f>
        <v>58.192500000000003</v>
      </c>
    </row>
    <row r="15" spans="1:9" x14ac:dyDescent="0.3">
      <c r="A15" s="8" t="s">
        <v>52</v>
      </c>
      <c r="B15" s="8"/>
      <c r="C15" s="8"/>
      <c r="D15" s="8"/>
      <c r="E15" s="8"/>
      <c r="F15" s="8"/>
      <c r="G15" s="8"/>
      <c r="H15" s="8"/>
      <c r="I15" s="9">
        <f>SUM(Table1[[#Data],[#Totals],[Total cost]])</f>
        <v>300.96250000000003</v>
      </c>
    </row>
  </sheetData>
  <hyperlinks>
    <hyperlink ref="E2" r:id="rId1" xr:uid="{E649B2B9-16DE-4CDD-9A8C-155AEF881E8C}"/>
    <hyperlink ref="E3" r:id="rId2" xr:uid="{1547E749-6240-43E7-A08B-467B1DD3808B}"/>
    <hyperlink ref="E7" r:id="rId3" xr:uid="{DF8A8B79-7C2D-442E-AB3C-366F8EF73C57}"/>
    <hyperlink ref="E5" r:id="rId4" xr:uid="{E900A9BE-DEBC-4814-95FE-2AD5B631E768}"/>
    <hyperlink ref="E6" r:id="rId5" display="https://www.digikey.com/en/products/detail/infineon-technologies/IRF200B211/5250541" xr:uid="{92A05147-8B45-4DF8-BD2B-4B39BD974BA9}"/>
    <hyperlink ref="E8" r:id="rId6" xr:uid="{3F587FE5-E467-419A-8BC3-047E2E106230}"/>
    <hyperlink ref="E9" r:id="rId7" xr:uid="{EE88AA29-0BDA-4628-977F-3EEB44D8A876}"/>
    <hyperlink ref="E10" r:id="rId8" xr:uid="{FEAC75F6-09B5-4E6F-A980-6D6DB88FD482}"/>
    <hyperlink ref="E11" r:id="rId9" xr:uid="{10DB1139-32B6-48E2-A6D4-4A8AA715BEDF}"/>
  </hyperlinks>
  <pageMargins left="0.7" right="0.7" top="0.75" bottom="0.75" header="0.3" footer="0.3"/>
  <tableParts count="1"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Verrazano</dc:creator>
  <cp:lastModifiedBy>Sgroi, Zano</cp:lastModifiedBy>
  <dcterms:created xsi:type="dcterms:W3CDTF">2015-06-05T18:17:20Z</dcterms:created>
  <dcterms:modified xsi:type="dcterms:W3CDTF">2026-09-22T17:02:45Z</dcterms:modified>
</cp:coreProperties>
</file>