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errazano\Acedemic\Research\Battery-Charger\Battery Charger Project\Excel\BOM\"/>
    </mc:Choice>
  </mc:AlternateContent>
  <xr:revisionPtr revIDLastSave="0" documentId="13_ncr:1_{EA6FB56B-F1DE-4E17-BABA-A482FA3B2EC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ugges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I19" i="1"/>
  <c r="I17" i="1" a="1"/>
  <c r="I17" i="1" s="1"/>
  <c r="I13" i="1"/>
  <c r="I12" i="1"/>
  <c r="I2" i="1"/>
  <c r="I15" i="1"/>
  <c r="I3" i="1"/>
  <c r="I4" i="1"/>
  <c r="I5" i="1"/>
  <c r="I6" i="1"/>
  <c r="I7" i="1"/>
  <c r="I8" i="1"/>
  <c r="I9" i="1"/>
  <c r="I10" i="1"/>
  <c r="I11" i="1"/>
  <c r="I1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<sst xmlns="http://schemas.openxmlformats.org/spreadsheetml/2006/main" count="77" uniqueCount="69">
  <si>
    <t>item use</t>
  </si>
  <si>
    <t>Item description</t>
  </si>
  <si>
    <t>product number</t>
  </si>
  <si>
    <t>vendor</t>
  </si>
  <si>
    <t>unit price</t>
  </si>
  <si>
    <t>Total cost</t>
  </si>
  <si>
    <t>link</t>
  </si>
  <si>
    <t>LC200-0185</t>
  </si>
  <si>
    <t>437uH GE Inductor (Already in lab)</t>
  </si>
  <si>
    <t>DigiKey</t>
  </si>
  <si>
    <t>CAP ALUM 560UF 20% 200V SNAP TH</t>
  </si>
  <si>
    <t>493-8516-ND</t>
  </si>
  <si>
    <t>https://www.digikey.com/en/products/detail/nichicon/LGW2D561MELA30/1966872</t>
  </si>
  <si>
    <t>Bridge Rectifiers 200V 30A Power Diode Discretes-FRED i4-Pac</t>
  </si>
  <si>
    <t>DPF30U200FC</t>
  </si>
  <si>
    <t>MOUSER</t>
  </si>
  <si>
    <t>https://www.mouser.com/en/ProductDetail/IXYS/DPF30U200FC?qs=rQFj71Wb1eWHztVyBgjseQ%3D%3D</t>
  </si>
  <si>
    <t>Rectifier Capacitor</t>
  </si>
  <si>
    <t>Buck Inductor</t>
  </si>
  <si>
    <t>Three Phase Rectifier</t>
  </si>
  <si>
    <t>Buck Capacitor</t>
  </si>
  <si>
    <t>MOSFET</t>
  </si>
  <si>
    <t>Diode</t>
  </si>
  <si>
    <t>MBR10200_T0_00001</t>
  </si>
  <si>
    <t>DIODE SCHOTTKY 200V 10A TO220AC</t>
  </si>
  <si>
    <t>https://www.digikey.com/en/products/detail/panjit-international-inc/MBR10200-T0-00001/15799461</t>
  </si>
  <si>
    <t>10 µF 50 V Aluminum Electrolytic Capacitors Radial, Can 5000 Hrs @ 105°C</t>
  </si>
  <si>
    <t>EEU-FR1H100</t>
  </si>
  <si>
    <t>https://www.digikey.com/en/products/detail/panasonic-industry/EEU-FR1H100/9921028</t>
  </si>
  <si>
    <t>MOSFET N-CH 200V 12A TO220AB</t>
  </si>
  <si>
    <t>IRF200B211</t>
  </si>
  <si>
    <t>IRF200B211 Infineon Technologies | Single FETs, MOSFETs | DigiKey</t>
  </si>
  <si>
    <t>Current sense IC</t>
  </si>
  <si>
    <t>CURRENT SENSOR HE 10-SOIC</t>
  </si>
  <si>
    <t>TMCS1133C5AQDVGR</t>
  </si>
  <si>
    <t>https://www.digikey.com/en/products/detail/texas-instruments/TMCS1133C5AQDVGR/23331381</t>
  </si>
  <si>
    <t>Generator conn</t>
  </si>
  <si>
    <t>TERM BLK 3POS SIDE ENTRY 5MM PCB</t>
  </si>
  <si>
    <t>Battery conn</t>
  </si>
  <si>
    <t>TERM BLK 2POS SIDE ENT 3.5MM PCB</t>
  </si>
  <si>
    <t>284391-2</t>
  </si>
  <si>
    <t>https://www.digikey.com/en/products/detail/te-connectivity-amp-connectors/284391-2/1827021</t>
  </si>
  <si>
    <t>Signal conn</t>
  </si>
  <si>
    <t>TERM BLK 3POS SIDE ENT 3.5MM PCB</t>
  </si>
  <si>
    <t>284391-3</t>
  </si>
  <si>
    <t>https://www.digikey.com/en/products/detail/te-connectivity-amp-connectors/284391-3/1827022</t>
  </si>
  <si>
    <t>MISC</t>
  </si>
  <si>
    <t>Voltage divider resistiors and decoupling capacitors</t>
  </si>
  <si>
    <t>Quantity</t>
  </si>
  <si>
    <t>min quantity</t>
  </si>
  <si>
    <t>PCBs</t>
  </si>
  <si>
    <t>5 pack</t>
  </si>
  <si>
    <t>TOTAL</t>
  </si>
  <si>
    <t>277-1578-ND</t>
  </si>
  <si>
    <t>https://www.digikey.com/en/products/detail/phoenix-contact/1935174/568615</t>
  </si>
  <si>
    <t>MCU board</t>
  </si>
  <si>
    <t>F28379D LaunchPad™ development kit for C2000™ Delfino™ MCU</t>
  </si>
  <si>
    <t>LAUNCHXL-F28379D</t>
  </si>
  <si>
    <t>Texas Instruments</t>
  </si>
  <si>
    <t>Gate driver eval board</t>
  </si>
  <si>
    <t>EVAL BOARD FOR STGAP2HDM</t>
  </si>
  <si>
    <t>EVALSTGAP2HDM</t>
  </si>
  <si>
    <t>https://www.digikey.com/en/products/detail/stmicroelectronics/EVALSTGAP2HDM/</t>
  </si>
  <si>
    <t>https://www.ti.com/tool/LAUNCHXL-F28379D</t>
  </si>
  <si>
    <t>TOTAL excluding PCBs</t>
  </si>
  <si>
    <t>Shipping</t>
  </si>
  <si>
    <t>Estimate of shipping for components</t>
  </si>
  <si>
    <t xml:space="preserve">Contingency </t>
  </si>
  <si>
    <t>20% contingency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</si>
</sst>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2" xfId="0" applyFont="1" applyFill="1" applyBorder="1"/>
    <xf numFmtId="0" fontId="0" fillId="0" borderId="1" xfId="0" applyFont="1" applyFill="1" applyBorder="1"/>
    <xf numFmtId="0" fontId="1" fillId="0" borderId="1" xfId="1" applyFont="1" applyFill="1" applyBorder="1"/>
    <xf numFmtId="164" fontId="0" fillId="0" borderId="3" xfId="0" applyNumberFormat="1" applyFont="1" applyFill="1" applyBorder="1"/>
    <xf numFmtId="2" fontId="0" fillId="0" borderId="1" xfId="0" applyNumberFormat="1" applyFont="1" applyFill="1" applyBorder="1"/>
    <xf numFmtId="49" fontId="0" fillId="0" borderId="1" xfId="0" applyNumberFormat="1" applyFont="1" applyFill="1" applyBorder="1"/>
    <xf numFmtId="0" fontId="0" fillId="0" borderId="8" xfId="0" applyFont="1" applyFill="1" applyBorder="1"/>
    <xf numFmtId="0" fontId="2" fillId="0" borderId="10" xfId="0" applyFont="1" applyFill="1" applyBorder="1"/>
    <xf numFmtId="0" fontId="2" fillId="0" borderId="11" xfId="0" applyFont="1" applyFill="1" applyBorder="1"/>
    <xf numFmtId="0" fontId="2" fillId="0" borderId="13" xfId="0" applyFont="1" applyFill="1" applyBorder="1"/>
    <xf numFmtId="0" fontId="0" fillId="0" borderId="7" xfId="0" applyFont="1" applyFill="1" applyBorder="1"/>
    <xf numFmtId="164" fontId="2" fillId="2" borderId="17" xfId="0" applyNumberFormat="1" applyFont="1" applyFill="1" applyBorder="1"/>
    <xf numFmtId="0" fontId="2" fillId="2" borderId="16" xfId="0" applyFont="1" applyFill="1" applyBorder="1"/>
    <xf numFmtId="0" fontId="2" fillId="2" borderId="1" xfId="0" applyFont="1" applyFill="1" applyBorder="1"/>
    <xf numFmtId="0" fontId="0" fillId="0" borderId="1" xfId="0" applyFill="1" applyBorder="1"/>
    <xf numFmtId="0" fontId="3" fillId="0" borderId="4" xfId="0" applyFont="1" applyFill="1" applyBorder="1"/>
    <xf numFmtId="0" fontId="3" fillId="0" borderId="5" xfId="0" applyFont="1" applyFill="1" applyBorder="1"/>
    <xf numFmtId="0" fontId="3" fillId="0" borderId="6" xfId="0" applyFont="1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1" xfId="0" applyFill="1" applyBorder="1"/>
    <xf numFmtId="164" fontId="0" fillId="0" borderId="12" xfId="0" applyNumberFormat="1" applyFill="1" applyBorder="1"/>
    <xf numFmtId="0" fontId="0" fillId="0" borderId="14" xfId="0" applyFill="1" applyBorder="1"/>
    <xf numFmtId="164" fontId="0" fillId="0" borderId="15" xfId="0" applyNumberFormat="1" applyFill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59A0370-B28F-4833-BBF6-73CA5F258DAA}" name="Table10" displayName="Table10" ref="A1:I19" totalsRowShown="0" headerRowDxfId="0" headerRowBorderDxfId="5" tableBorderDxfId="6" totalsRowBorderDxfId="4">
  <autoFilter ref="A1:I19" xr:uid="{D59A0370-B28F-4833-BBF6-73CA5F258DAA}"/>
  <tableColumns count="9">
    <tableColumn id="1" xr3:uid="{A671E009-E1D1-415B-AB06-EBE4E463EC9A}" name="item use" dataDxfId="3"/>
    <tableColumn id="2" xr3:uid="{332D8203-1DEB-4D23-ABFF-7DDE266D779A}" name="Item description" dataDxfId="2"/>
    <tableColumn id="3" xr3:uid="{95FDF01E-D6FB-462C-A67F-6650D8DA5A69}" name="product number" dataDxfId="1"/>
    <tableColumn id="4" xr3:uid="{D4E2AD05-99DD-45B5-AF98-5F14CE702324}" name="vendor"/>
    <tableColumn id="5" xr3:uid="{0EE3A759-7F48-4DA9-967C-886AD9B2FF61}" name="link"/>
    <tableColumn id="6" xr3:uid="{79309A75-CAC8-4BB4-B390-BF5EE7718A07}" name="min quantity"/>
    <tableColumn id="7" xr3:uid="{14865014-C08A-4EF3-88DE-ED13C35C43CB}" name="Quantity"/>
    <tableColumn id="8" xr3:uid="{27596AD4-FD25-425D-844E-0F45D97ADE84}" name="unit price"/>
    <tableColumn id="9" xr3:uid="{219B9DC7-A358-492B-9068-479CD40DD8B0}" name="Total cos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te-connectivity-amp-connectors/284391-2/1827021" TargetMode="External"/><Relationship Id="rId3" Type="http://schemas.openxmlformats.org/officeDocument/2006/relationships/hyperlink" Target="https://www.digikey.com/en/products/detail/panjit-international-inc/MBR10200-T0-00001/15799461" TargetMode="External"/><Relationship Id="rId7" Type="http://schemas.openxmlformats.org/officeDocument/2006/relationships/hyperlink" Target="https://www.digikey.com/en/products/detail/phoenix-contact/1935174/568615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www.mouser.com/en/ProductDetail/IXYS/DPF30U200FC?qs=rQFj71Wb1eWHztVyBgjseQ%3D%3D" TargetMode="External"/><Relationship Id="rId1" Type="http://schemas.openxmlformats.org/officeDocument/2006/relationships/hyperlink" Target="https://www.digikey.com/en/products/detail/nichicon/LGW2D561MELA30/1966872" TargetMode="External"/><Relationship Id="rId6" Type="http://schemas.openxmlformats.org/officeDocument/2006/relationships/hyperlink" Target="https://www.digikey.com/en/products/detail/texas-instruments/TMCS1133C5AQDVGR/23331381" TargetMode="External"/><Relationship Id="rId11" Type="http://schemas.openxmlformats.org/officeDocument/2006/relationships/hyperlink" Target="https://www.digikey.com/en/products/detail/stmicroelectronics/EVALSTGAP2HDM/15706452?s=N4IgjCBcoLQBxVAYygMwIYBsDOBTANCAPZQDaIALAJwDsIAugL6OEBMZIAogGoCCAMgGUAKgHFeABVYAJACIBZBoyA" TargetMode="External"/><Relationship Id="rId5" Type="http://schemas.openxmlformats.org/officeDocument/2006/relationships/hyperlink" Target="https://www.digikey.com/en/products/detail/infineon-technologies/IRF200B211/5250541" TargetMode="External"/><Relationship Id="rId10" Type="http://schemas.openxmlformats.org/officeDocument/2006/relationships/hyperlink" Target="https://www.ti.com/tool/LAUNCHXL-F28379D?keyMatch=LAUNCHXL-F28379D&amp;tisearch=universal_search&amp;usecase=hardware" TargetMode="External"/><Relationship Id="rId4" Type="http://schemas.openxmlformats.org/officeDocument/2006/relationships/hyperlink" Target="https://www.digikey.com/en/products/detail/panasonic-industry/EEU-FR1H100/9921028" TargetMode="External"/><Relationship Id="rId9" Type="http://schemas.openxmlformats.org/officeDocument/2006/relationships/hyperlink" Target="https://www.digikey.com/en/products/detail/te-connectivity-amp-connectors/284391-3/1827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E1" zoomScale="70" zoomScaleNormal="70" workbookViewId="0">
      <selection activeCell="I18" sqref="I18"/>
    </sheetView>
  </sheetViews>
  <sheetFormatPr defaultRowHeight="14.4" x14ac:dyDescent="0.3"/>
  <cols>
    <col min="1" max="1" width="21" bestFit="1" customWidth="1"/>
    <col min="2" max="2" width="66.5546875" bestFit="1" customWidth="1"/>
    <col min="3" max="4" width="19.33203125" bestFit="1" customWidth="1"/>
    <col min="5" max="5" width="106.6640625" customWidth="1"/>
    <col min="6" max="6" width="22.88671875" bestFit="1" customWidth="1"/>
    <col min="7" max="7" width="17.6640625" bestFit="1" customWidth="1"/>
    <col min="8" max="8" width="11.21875" customWidth="1"/>
    <col min="9" max="9" width="11.88671875" bestFit="1" customWidth="1"/>
  </cols>
  <sheetData>
    <row r="1" spans="1:9" x14ac:dyDescent="0.3">
      <c r="A1" s="16" t="s">
        <v>0</v>
      </c>
      <c r="B1" s="17" t="s">
        <v>1</v>
      </c>
      <c r="C1" s="17" t="s">
        <v>2</v>
      </c>
      <c r="D1" s="17" t="s">
        <v>3</v>
      </c>
      <c r="E1" s="17" t="s">
        <v>6</v>
      </c>
      <c r="F1" s="17" t="s">
        <v>49</v>
      </c>
      <c r="G1" s="17" t="s">
        <v>48</v>
      </c>
      <c r="H1" s="17" t="s">
        <v>4</v>
      </c>
      <c r="I1" s="18" t="s">
        <v>5</v>
      </c>
    </row>
    <row r="2" spans="1:9" x14ac:dyDescent="0.3">
      <c r="A2" s="1" t="s">
        <v>17</v>
      </c>
      <c r="B2" s="2" t="s">
        <v>10</v>
      </c>
      <c r="C2" s="2" t="s">
        <v>11</v>
      </c>
      <c r="D2" s="2" t="s">
        <v>9</v>
      </c>
      <c r="E2" s="3" t="s">
        <v>12</v>
      </c>
      <c r="F2" s="2">
        <v>4</v>
      </c>
      <c r="G2" s="3">
        <v>10</v>
      </c>
      <c r="H2" s="2">
        <v>3.61</v>
      </c>
      <c r="I2" s="4">
        <f>Suggested!$H2*Suggested!$G2</f>
        <v>36.1</v>
      </c>
    </row>
    <row r="3" spans="1:9" x14ac:dyDescent="0.3">
      <c r="A3" s="1" t="s">
        <v>19</v>
      </c>
      <c r="B3" s="2" t="s">
        <v>13</v>
      </c>
      <c r="C3" s="2" t="s">
        <v>14</v>
      </c>
      <c r="D3" s="2" t="s">
        <v>15</v>
      </c>
      <c r="E3" s="3" t="s">
        <v>16</v>
      </c>
      <c r="F3" s="2">
        <v>1</v>
      </c>
      <c r="G3" s="3">
        <v>2</v>
      </c>
      <c r="H3" s="2">
        <v>20.09</v>
      </c>
      <c r="I3" s="4">
        <f>Suggested!$H3*Suggested!$G3</f>
        <v>40.18</v>
      </c>
    </row>
    <row r="4" spans="1:9" x14ac:dyDescent="0.3">
      <c r="A4" s="1" t="s">
        <v>18</v>
      </c>
      <c r="B4" s="2" t="s">
        <v>8</v>
      </c>
      <c r="C4" s="2" t="s">
        <v>7</v>
      </c>
      <c r="D4" s="2"/>
      <c r="E4" s="2"/>
      <c r="F4" s="2">
        <v>1</v>
      </c>
      <c r="G4" s="2"/>
      <c r="H4" s="2"/>
      <c r="I4" s="4">
        <f>Suggested!$H4*Suggested!$G4</f>
        <v>0</v>
      </c>
    </row>
    <row r="5" spans="1:9" x14ac:dyDescent="0.3">
      <c r="A5" s="1" t="s">
        <v>20</v>
      </c>
      <c r="B5" s="2" t="s">
        <v>26</v>
      </c>
      <c r="C5" s="2" t="s">
        <v>27</v>
      </c>
      <c r="D5" s="2" t="s">
        <v>9</v>
      </c>
      <c r="E5" s="3" t="s">
        <v>28</v>
      </c>
      <c r="F5" s="2">
        <v>1</v>
      </c>
      <c r="G5" s="3">
        <v>10</v>
      </c>
      <c r="H5" s="2">
        <v>0.25</v>
      </c>
      <c r="I5" s="4">
        <f>Suggested!$H5*Suggested!$G5</f>
        <v>2.5</v>
      </c>
    </row>
    <row r="6" spans="1:9" x14ac:dyDescent="0.3">
      <c r="A6" s="1" t="s">
        <v>21</v>
      </c>
      <c r="B6" s="2" t="s">
        <v>29</v>
      </c>
      <c r="C6" s="2" t="s">
        <v>30</v>
      </c>
      <c r="D6" s="2" t="s">
        <v>9</v>
      </c>
      <c r="E6" s="3" t="s">
        <v>31</v>
      </c>
      <c r="F6" s="2">
        <v>1</v>
      </c>
      <c r="G6" s="3">
        <v>3</v>
      </c>
      <c r="H6" s="2">
        <v>2.23</v>
      </c>
      <c r="I6" s="4">
        <f>Suggested!$H6*Suggested!$G6</f>
        <v>6.6899999999999995</v>
      </c>
    </row>
    <row r="7" spans="1:9" x14ac:dyDescent="0.3">
      <c r="A7" s="1" t="s">
        <v>22</v>
      </c>
      <c r="B7" s="2" t="s">
        <v>24</v>
      </c>
      <c r="C7" s="2" t="s">
        <v>23</v>
      </c>
      <c r="D7" s="2" t="s">
        <v>9</v>
      </c>
      <c r="E7" s="3" t="s">
        <v>25</v>
      </c>
      <c r="F7" s="2">
        <v>1</v>
      </c>
      <c r="G7" s="3">
        <v>3</v>
      </c>
      <c r="H7" s="2">
        <v>1.29</v>
      </c>
      <c r="I7" s="4">
        <f>Suggested!$H7*Suggested!$G7</f>
        <v>3.87</v>
      </c>
    </row>
    <row r="8" spans="1:9" x14ac:dyDescent="0.3">
      <c r="A8" s="1" t="s">
        <v>32</v>
      </c>
      <c r="B8" s="2" t="s">
        <v>33</v>
      </c>
      <c r="C8" s="2" t="s">
        <v>34</v>
      </c>
      <c r="D8" s="2" t="s">
        <v>9</v>
      </c>
      <c r="E8" s="3" t="s">
        <v>35</v>
      </c>
      <c r="F8" s="2">
        <v>1</v>
      </c>
      <c r="G8" s="3">
        <v>2</v>
      </c>
      <c r="H8" s="2">
        <v>4.55</v>
      </c>
      <c r="I8" s="4">
        <f>Suggested!$H8*Suggested!$G8</f>
        <v>9.1</v>
      </c>
    </row>
    <row r="9" spans="1:9" x14ac:dyDescent="0.3">
      <c r="A9" s="1" t="s">
        <v>36</v>
      </c>
      <c r="B9" s="2" t="s">
        <v>37</v>
      </c>
      <c r="C9" s="2" t="s">
        <v>53</v>
      </c>
      <c r="D9" s="2" t="s">
        <v>9</v>
      </c>
      <c r="E9" s="3" t="s">
        <v>54</v>
      </c>
      <c r="F9" s="2">
        <v>1</v>
      </c>
      <c r="G9" s="3">
        <v>2</v>
      </c>
      <c r="H9" s="2">
        <v>0.72</v>
      </c>
      <c r="I9" s="4">
        <f>Suggested!$H9*Suggested!$G9</f>
        <v>1.44</v>
      </c>
    </row>
    <row r="10" spans="1:9" x14ac:dyDescent="0.3">
      <c r="A10" s="1" t="s">
        <v>38</v>
      </c>
      <c r="B10" s="2" t="s">
        <v>39</v>
      </c>
      <c r="C10" s="2" t="s">
        <v>40</v>
      </c>
      <c r="D10" s="2" t="s">
        <v>9</v>
      </c>
      <c r="E10" s="3" t="s">
        <v>41</v>
      </c>
      <c r="F10" s="2">
        <v>4</v>
      </c>
      <c r="G10" s="3">
        <v>5</v>
      </c>
      <c r="H10" s="5">
        <v>1.94</v>
      </c>
      <c r="I10" s="4">
        <f>Suggested!$H10*Suggested!$G10</f>
        <v>9.6999999999999993</v>
      </c>
    </row>
    <row r="11" spans="1:9" x14ac:dyDescent="0.3">
      <c r="A11" s="1" t="s">
        <v>42</v>
      </c>
      <c r="B11" s="2" t="s">
        <v>43</v>
      </c>
      <c r="C11" s="6" t="s">
        <v>44</v>
      </c>
      <c r="D11" s="2" t="s">
        <v>9</v>
      </c>
      <c r="E11" s="3" t="s">
        <v>45</v>
      </c>
      <c r="F11" s="2">
        <v>1</v>
      </c>
      <c r="G11" s="3">
        <v>2</v>
      </c>
      <c r="H11" s="5">
        <v>1.78</v>
      </c>
      <c r="I11" s="4">
        <f>Suggested!$H11*Suggested!$G11</f>
        <v>3.56</v>
      </c>
    </row>
    <row r="12" spans="1:9" x14ac:dyDescent="0.3">
      <c r="A12" s="1" t="s">
        <v>55</v>
      </c>
      <c r="B12" s="2" t="s">
        <v>56</v>
      </c>
      <c r="C12" s="6" t="s">
        <v>57</v>
      </c>
      <c r="D12" s="2" t="s">
        <v>58</v>
      </c>
      <c r="E12" s="3" t="s">
        <v>63</v>
      </c>
      <c r="F12" s="2">
        <v>1</v>
      </c>
      <c r="G12" s="3">
        <v>1</v>
      </c>
      <c r="H12" s="5">
        <v>42.9</v>
      </c>
      <c r="I12" s="4">
        <f>F12*H12</f>
        <v>42.9</v>
      </c>
    </row>
    <row r="13" spans="1:9" x14ac:dyDescent="0.3">
      <c r="A13" s="1" t="s">
        <v>59</v>
      </c>
      <c r="B13" s="2" t="s">
        <v>60</v>
      </c>
      <c r="C13" s="6" t="s">
        <v>61</v>
      </c>
      <c r="D13" s="2" t="s">
        <v>9</v>
      </c>
      <c r="E13" s="3" t="s">
        <v>62</v>
      </c>
      <c r="F13" s="2">
        <v>1</v>
      </c>
      <c r="G13" s="3">
        <v>1</v>
      </c>
      <c r="H13" s="5">
        <v>100.01</v>
      </c>
      <c r="I13" s="4">
        <f>F13*H13</f>
        <v>100.01</v>
      </c>
    </row>
    <row r="14" spans="1:9" x14ac:dyDescent="0.3">
      <c r="A14" s="1" t="s">
        <v>50</v>
      </c>
      <c r="B14" s="2" t="s">
        <v>51</v>
      </c>
      <c r="C14" s="2"/>
      <c r="D14" s="2"/>
      <c r="E14" s="2"/>
      <c r="F14" s="2">
        <v>1</v>
      </c>
      <c r="G14" s="2">
        <v>1</v>
      </c>
      <c r="H14" s="2">
        <v>70</v>
      </c>
      <c r="I14" s="4">
        <f>Suggested!$H14*Suggested!$G14</f>
        <v>70</v>
      </c>
    </row>
    <row r="15" spans="1:9" x14ac:dyDescent="0.3">
      <c r="A15" s="1" t="s">
        <v>46</v>
      </c>
      <c r="B15" s="2" t="s">
        <v>47</v>
      </c>
      <c r="C15" s="2"/>
      <c r="D15" s="2"/>
      <c r="E15" s="2"/>
      <c r="F15" s="2">
        <v>1</v>
      </c>
      <c r="G15" s="2"/>
      <c r="H15" s="2">
        <v>10</v>
      </c>
      <c r="I15" s="4">
        <f>F15*H15</f>
        <v>10</v>
      </c>
    </row>
    <row r="16" spans="1:9" ht="15" thickBot="1" x14ac:dyDescent="0.35">
      <c r="A16" s="11" t="s">
        <v>65</v>
      </c>
      <c r="B16" s="7" t="s">
        <v>66</v>
      </c>
      <c r="C16" s="19"/>
      <c r="D16" s="19"/>
      <c r="E16" s="19"/>
      <c r="F16" s="7">
        <v>1</v>
      </c>
      <c r="G16" s="19"/>
      <c r="H16" s="19">
        <v>1</v>
      </c>
      <c r="I16" s="20">
        <v>40</v>
      </c>
    </row>
    <row r="17" spans="1:9" x14ac:dyDescent="0.3">
      <c r="A17" s="8" t="s">
        <v>67</v>
      </c>
      <c r="B17" s="21" t="s">
        <v>68</v>
      </c>
      <c r="C17" s="15"/>
      <c r="D17" s="9"/>
      <c r="E17" s="9"/>
      <c r="F17" s="9"/>
      <c r="G17" s="9"/>
      <c r="H17" s="9"/>
      <c r="I17" s="22" cm="1">
        <f t="array" ref="I17">SUM(I2:I16*0.2)</f>
        <v>75.210000000000008</v>
      </c>
    </row>
    <row r="18" spans="1:9" x14ac:dyDescent="0.3">
      <c r="A18" s="13" t="s">
        <v>52</v>
      </c>
      <c r="B18" s="25"/>
      <c r="C18" s="14"/>
      <c r="D18" s="14"/>
      <c r="E18" s="14"/>
      <c r="F18" s="14"/>
      <c r="G18" s="14"/>
      <c r="H18" s="14"/>
      <c r="I18" s="12">
        <f>SUM($I$2:$I$17)</f>
        <v>451.26</v>
      </c>
    </row>
    <row r="19" spans="1:9" ht="15" thickBot="1" x14ac:dyDescent="0.35">
      <c r="A19" s="10" t="s">
        <v>64</v>
      </c>
      <c r="B19" s="23"/>
      <c r="C19" s="23"/>
      <c r="D19" s="23"/>
      <c r="E19" s="23"/>
      <c r="F19" s="23"/>
      <c r="G19" s="23"/>
      <c r="H19" s="23"/>
      <c r="I19" s="24">
        <f>SUM(I2:I13,I15:I16)+(0.2*SUM(I15:I16,I2:I13))</f>
        <v>367.26</v>
      </c>
    </row>
  </sheetData>
  <hyperlinks>
    <hyperlink ref="E2" r:id="rId1" xr:uid="{E649B2B9-16DE-4CDD-9A8C-155AEF881E8C}"/>
    <hyperlink ref="E3" r:id="rId2" xr:uid="{1547E749-6240-43E7-A08B-467B1DD3808B}"/>
    <hyperlink ref="E7" r:id="rId3" xr:uid="{DF8A8B79-7C2D-442E-AB3C-366F8EF73C57}"/>
    <hyperlink ref="E5" r:id="rId4" xr:uid="{E900A9BE-DEBC-4814-95FE-2AD5B631E768}"/>
    <hyperlink ref="E6" r:id="rId5" display="https://www.digikey.com/en/products/detail/infineon-technologies/IRF200B211/5250541" xr:uid="{92A05147-8B45-4DF8-BD2B-4B39BD974BA9}"/>
    <hyperlink ref="E8" r:id="rId6" xr:uid="{3F587FE5-E467-419A-8BC3-047E2E106230}"/>
    <hyperlink ref="E9" r:id="rId7" xr:uid="{EE88AA29-0BDA-4628-977F-3EEB44D8A876}"/>
    <hyperlink ref="E10" r:id="rId8" xr:uid="{FEAC75F6-09B5-4E6F-A980-6D6DB88FD482}"/>
    <hyperlink ref="E11" r:id="rId9" xr:uid="{10DB1139-32B6-48E2-A6D4-4A8AA715BEDF}"/>
    <hyperlink ref="E12" r:id="rId10" location="order-start-development" xr:uid="{7AD4C1B8-63E7-4377-85EC-8A96DCA2AFB6}"/>
    <hyperlink ref="E13" r:id="rId11" xr:uid="{4015C2B4-E3CC-4733-A976-F575AB483C4C}"/>
  </hyperlinks>
  <pageMargins left="0.7" right="0.7" top="0.75" bottom="0.75" header="0.3" footer="0.3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Suggested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Verrazano</dc:creator>
  <cp:lastModifiedBy>Sgroi, Zano</cp:lastModifiedBy>
  <dcterms:created xsi:type="dcterms:W3CDTF">2015-06-05T18:17:20Z</dcterms:created>
  <dcterms:modified xsi:type="dcterms:W3CDTF">2026-09-24T16:54:24Z</dcterms:modified>
</cp:coreProperties>
</file>