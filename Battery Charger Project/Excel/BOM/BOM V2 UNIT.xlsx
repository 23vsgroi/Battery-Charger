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2476CA4E-FC1A-4A98-B4C5-96CF801338A1}" xr6:coauthVersionLast="47" xr6:coauthVersionMax="47" xr10:uidLastSave="{00000000-0000-0000-0000-000000000000}"/>
  <bookViews>
    <workbookView xWindow="-108" yWindow="-108" windowWidth="23256" windowHeight="12456" xr2:uid="{399A400B-C522-4FE4-B704-6D3A9F06170E}"/>
  </bookViews>
  <sheets>
    <sheet name="Minimum" sheetId="3" r:id="rId1"/>
    <sheet name="Suggest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4" l="1" a="1"/>
  <c r="I17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H2" i="3"/>
  <c r="H3" i="3"/>
  <c r="H17" i="3" s="1" a="1"/>
  <c r="H17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9" i="3"/>
  <c r="I19" i="4" l="1"/>
  <c r="I18" i="4"/>
  <c r="H1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<sst xmlns="http://schemas.openxmlformats.org/spreadsheetml/2006/main" count="155" uniqueCount="78">
  <si>
    <t>Item use</t>
  </si>
  <si>
    <t>Description</t>
  </si>
  <si>
    <t>Product number</t>
  </si>
  <si>
    <t>Vendor</t>
  </si>
  <si>
    <t>Link</t>
  </si>
  <si>
    <t>Min quantity</t>
  </si>
  <si>
    <t>Unit price</t>
  </si>
  <si>
    <t>Total cost</t>
  </si>
  <si>
    <t>Rectifier Capacitor</t>
  </si>
  <si>
    <t>CAP ALUM 560UF 20% 200V SNAP TH</t>
  </si>
  <si>
    <t>493-8516-ND</t>
  </si>
  <si>
    <t>DigiKey</t>
  </si>
  <si>
    <t>https://www.digikey.com/en/products/detail/nichicon/LGW2D561MELA30/1966872</t>
  </si>
  <si>
    <t>Three Phase Rectifier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</si>
  <si>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</si>
  <si>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</si>
  <si>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</si>
  <si>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</si>
  <si>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Buck Inductor</t>
  </si>
  <si>
    <t>437uH GE Inductor (Already in lab)</t>
  </si>
  <si>
    <t>LC200-0185</t>
  </si>
  <si>
    <t>Buck Capacitor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</si>
  <si>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</si>
  <si>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</si>
  <si>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</si>
  <si>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</t>
  </si>
  <si>
    <t>MOSFET N-CH 200V 12A TO220AB</t>
  </si>
  <si>
    <t>IRF200B211</t>
  </si>
  <si>
    <t>IRF200B211 Infineon Technologies | Single FETs, MOSFETs | DigiKey</t>
  </si>
  <si>
    <t>Diode</t>
  </si>
  <si>
    <t>DIODE SCHOTTKY 200V 10A TO220AC</t>
  </si>
  <si>
    <t>MBR10200_T0_00001</t>
  </si>
  <si>
    <t>https://www.digikey.com/en/products/detail/panjit-international-inc/MBR10200-T0-00001/15799461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</si>
  <si>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</si>
  <si>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</si>
  <si>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</si>
  <si>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</si>
  <si>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</si>
  <si>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</si>
  <si>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277-1578-ND</t>
  </si>
  <si>
    <t>https://www.digikey.com/en/products/detail/phoenix-contact/1935174/568615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</si>
  <si>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</si>
  <si>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</si>
  <si>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</si>
  <si>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</si>
  <si>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</si>
  <si>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</si>
  <si>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</si>
  <si>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</si>
  <si>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MCU board</t>
  </si>
  <si>
    <t>F28379D LaunchPad™ development kit for C2000™ Delfino™ MCU</t>
  </si>
  <si>
    <t>LAUNCHXL-F28379D</t>
  </si>
  <si>
    <t>Texas Instruments</t>
  </si>
  <si>
    <t>https://www.ti.com/tool/LAUNCHXL-F28379D</t>
  </si>
  <si>
    <t>Gate driver eval board</t>
  </si>
  <si>
    <t>EVAL BOARD FOR STGAP2HDM</t>
  </si>
  <si>
    <t>EVALSTGAP2HDM</t>
  </si>
  <si>
    <t>https://www.digikey.com/en/products/detail/stmicroelectronics/EVALSTGAP2HDM/</t>
  </si>
  <si>
    <t>PCBs</t>
  </si>
  <si>
    <t>5 pack</t>
  </si>
  <si>
    <t>MISC</t>
  </si>
  <si>
    <t>Voltage divider resistiors and decoupling capacitors</t>
  </si>
  <si>
    <t>Shipping</t>
  </si>
  <si>
    <t>Estimate of shipping for components</t>
  </si>
  <si>
    <t xml:space="preserve">Contingency </t>
  </si>
  <si>
    <t>20% contingency</t>
  </si>
  <si>
    <t>TOTAL</t>
  </si>
  <si>
    <t>TOTAL excluding PCBs</t>
  </si>
  <si>
    <t>COST PER PROTOTYPE</t>
  </si>
  <si>
    <t>NOTE: PCBs will not need to be bought for every prototype because they come in a pack</t>
  </si>
  <si>
    <t>unit price</t>
  </si>
  <si>
    <t>Quantity</t>
  </si>
  <si>
    <t>min quantity</t>
  </si>
  <si>
    <t>link</t>
  </si>
  <si>
    <t>vendor</t>
  </si>
  <si>
    <t>product number</t>
  </si>
  <si>
    <t>Item description</t>
  </si>
  <si>
    <t>item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</si>
</sst>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0" borderId="5" xfId="1" applyFill="1" applyBorder="1"/>
    <xf numFmtId="164" fontId="0" fillId="0" borderId="6" xfId="0" applyNumberFormat="1" applyBorder="1"/>
    <xf numFmtId="49" fontId="0" fillId="0" borderId="5" xfId="0" applyNumberFormat="1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2" fillId="0" borderId="10" xfId="0" applyFont="1" applyBorder="1"/>
    <xf numFmtId="0" fontId="0" fillId="0" borderId="10" xfId="0" applyBorder="1"/>
    <xf numFmtId="164" fontId="0" fillId="0" borderId="10" xfId="0" applyNumberFormat="1" applyBorder="1"/>
    <xf numFmtId="0" fontId="2" fillId="2" borderId="5" xfId="0" applyFont="1" applyFill="1" applyBorder="1"/>
    <xf numFmtId="164" fontId="2" fillId="2" borderId="5" xfId="0" applyNumberFormat="1" applyFont="1" applyFill="1" applyBorder="1"/>
    <xf numFmtId="0" fontId="2" fillId="0" borderId="8" xfId="0" applyFont="1" applyBorder="1"/>
    <xf numFmtId="164" fontId="0" fillId="0" borderId="8" xfId="0" applyNumberFormat="1" applyBorder="1"/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64" fontId="0" fillId="0" borderId="11" xfId="0" applyNumberFormat="1" applyBorder="1"/>
    <xf numFmtId="0" fontId="0" fillId="0" borderId="12" xfId="0" applyBorder="1"/>
    <xf numFmtId="0" fontId="2" fillId="0" borderId="13" xfId="0" applyFont="1" applyBorder="1"/>
    <xf numFmtId="164" fontId="2" fillId="2" borderId="14" xfId="0" applyNumberFormat="1" applyFont="1" applyFill="1" applyBorder="1"/>
    <xf numFmtId="0" fontId="0" fillId="2" borderId="5" xfId="0" applyFill="1" applyBorder="1"/>
    <xf numFmtId="0" fontId="2" fillId="2" borderId="15" xfId="0" applyFont="1" applyFill="1" applyBorder="1"/>
    <xf numFmtId="164" fontId="0" fillId="0" borderId="16" xfId="0" applyNumberFormat="1" applyBorder="1"/>
    <xf numFmtId="0" fontId="2" fillId="0" borderId="17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  <xf numFmtId="164" fontId="0" fillId="0" borderId="5" xfId="0" applyNumberFormat="1" applyBorder="1"/>
    <xf numFmtId="164" fontId="0" fillId="0" borderId="0" xfId="0" applyNumberFormat="1"/>
  </cellXfs>
  <cellStyles count="2">
    <cellStyle name="Hyperlink" xfId="1" builtinId="8"/>
    <cellStyle name="Normal" xfId="0" builtinId="0"/>
  </cellStyles>
  <dxfs count="28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</dxf>
    <dxf>
      <numFmt numFmtId="164" formatCode="&quot;$&quot;#,##0.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AF1036-AA28-4E30-BD9A-19D4203E5E9C}" name="Table9" displayName="Table9" ref="A1:H19" headerRowDxfId="27" dataDxfId="26" headerRowBorderDxfId="24" tableBorderDxfId="25" totalsRowBorderDxfId="23">
  <autoFilter ref="A1:H19" xr:uid="{59A65182-955A-411F-909C-5E992C97166C}"/>
  <tableColumns count="8">
    <tableColumn id="1" xr3:uid="{24419B8B-FF43-4B51-A546-C265CCDC1D88}" name="Item use" totalsRowLabel="Total" dataDxfId="21" totalsRowDxfId="22"/>
    <tableColumn id="2" xr3:uid="{73565926-C3E1-4407-88D4-758E382675EA}" name="Description" dataDxfId="19" totalsRowDxfId="20"/>
    <tableColumn id="3" xr3:uid="{33CB0387-9EC9-4F69-99BC-9960DEF33C0D}" name="Product number" dataDxfId="17" totalsRowDxfId="18"/>
    <tableColumn id="4" xr3:uid="{CDA3F275-2D24-4F2E-AAF7-0E5247C18A95}" name="Vendor" dataDxfId="15" totalsRowDxfId="16"/>
    <tableColumn id="5" xr3:uid="{4B82A4F9-F428-4DF2-B1D8-CB81C6BF65C0}" name="Link" dataDxfId="13" totalsRowDxfId="14"/>
    <tableColumn id="6" xr3:uid="{35F514A8-DBF2-480B-8998-E9F53152D339}" name="Min quantity" dataDxfId="11" totalsRowDxfId="12"/>
    <tableColumn id="7" xr3:uid="{10F70241-F70D-4760-BF6C-25A92BDA41AD}" name="Unit price" dataDxfId="9" totalsRowDxfId="10"/>
    <tableColumn id="8" xr3:uid="{11A43384-0E2E-44C1-835E-B53743CB0889}" name="Total cost" totalsRowFunction="sum" dataDxfId="7" totalsRowDxfId="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A5CCCD-EF1A-41C4-9A28-211F14A4F8B5}" name="Table10" displayName="Table10" ref="A1:I19" totalsRowShown="0" headerRowDxfId="6" headerRowBorderDxfId="4" tableBorderDxfId="5" totalsRowBorderDxfId="3">
  <autoFilter ref="A1:I19" xr:uid="{D59A0370-B28F-4833-BBF6-73CA5F258DAA}"/>
  <tableColumns count="9">
    <tableColumn id="1" xr3:uid="{A671E009-E1D1-415B-AB06-EBE4E463EC9A}" name="item use" dataDxfId="2"/>
    <tableColumn id="2" xr3:uid="{332D8203-1DEB-4D23-ABFF-7DDE266D779A}" name="Item description" dataDxfId="1"/>
    <tableColumn id="3" xr3:uid="{95FDF01E-D6FB-462C-A67F-6650D8DA5A69}" name="product number" dataDxfId="0"/>
    <tableColumn id="4" xr3:uid="{D4E2AD05-99DD-45B5-AF98-5F14CE702324}" name="vendor"/>
    <tableColumn id="5" xr3:uid="{0EE3A759-7F48-4DA9-967C-886AD9B2FF61}" name="link"/>
    <tableColumn id="6" xr3:uid="{79309A75-CAC8-4BB4-B390-BF5EE7718A07}" name="min quantity"/>
    <tableColumn id="7" xr3:uid="{14865014-C08A-4EF3-88DE-ED13C35C43CB}" name="Quantity"/>
    <tableColumn id="8" xr3:uid="{27596AD4-FD25-425D-844E-0F45D97ADE84}" name="unit price"/>
    <tableColumn id="9" xr3:uid="{219B9DC7-A358-492B-9068-479CD40DD8B0}" name="Total cos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8B7F-D3DD-4982-98A6-18382FC88934}">
  <dimension ref="A1:H23"/>
  <sheetViews>
    <sheetView tabSelected="1" zoomScale="70" zoomScaleNormal="70" workbookViewId="0">
      <selection activeCell="F26" sqref="F26"/>
    </sheetView>
  </sheetViews>
  <sheetFormatPr defaultRowHeight="14.4" x14ac:dyDescent="0.3"/>
  <cols>
    <col min="1" max="1" width="20.88671875" bestFit="1" customWidth="1"/>
    <col min="2" max="2" width="62.5546875" bestFit="1" customWidth="1"/>
    <col min="3" max="3" width="19.109375" bestFit="1" customWidth="1"/>
    <col min="4" max="4" width="15.88671875" bestFit="1" customWidth="1"/>
    <col min="5" max="5" width="92.21875" bestFit="1" customWidth="1"/>
    <col min="6" max="6" width="14.109375" customWidth="1"/>
    <col min="7" max="7" width="11.44140625" customWidth="1"/>
    <col min="8" max="8" width="11.21875" customWidth="1"/>
  </cols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32">
        <v>5.25</v>
      </c>
      <c r="H2" s="7">
        <f>Minimum!$G2*Minimum!$F2</f>
        <v>21</v>
      </c>
    </row>
    <row r="3" spans="1:8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32">
        <v>20.09</v>
      </c>
      <c r="H3" s="7">
        <f>Minimum!$G3*Minimum!$F3</f>
        <v>20.09</v>
      </c>
    </row>
    <row r="4" spans="1:8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32"/>
      <c r="H4" s="7">
        <f>Minimum!$G4*Minimum!$F4</f>
        <v>0</v>
      </c>
    </row>
    <row r="5" spans="1:8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32">
        <v>0.41</v>
      </c>
      <c r="H5" s="7">
        <f>Minimum!$G5*Minimum!$F5</f>
        <v>0.41</v>
      </c>
    </row>
    <row r="6" spans="1:8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32">
        <v>2.23</v>
      </c>
      <c r="H6" s="7">
        <f>Minimum!$G6*Minimum!$F6</f>
        <v>2.23</v>
      </c>
    </row>
    <row r="7" spans="1:8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32">
        <v>1.29</v>
      </c>
      <c r="H7" s="7">
        <f>Minimum!$G7*Minimum!$F7</f>
        <v>1.29</v>
      </c>
    </row>
    <row r="8" spans="1:8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32">
        <v>4.55</v>
      </c>
      <c r="H8" s="7">
        <f>Minimum!$G8*Minimum!$F8</f>
        <v>4.55</v>
      </c>
    </row>
    <row r="9" spans="1:8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32">
        <v>0.72</v>
      </c>
      <c r="H9" s="7">
        <f>Minimum!$G9*Minimum!$F9</f>
        <v>0.72</v>
      </c>
    </row>
    <row r="10" spans="1:8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32">
        <v>1.94</v>
      </c>
      <c r="H10" s="7">
        <f>Minimum!$G10*Minimum!$F10</f>
        <v>7.76</v>
      </c>
    </row>
    <row r="11" spans="1:8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32">
        <v>2.44</v>
      </c>
      <c r="H11" s="7">
        <f>Minimum!$G11*Minimum!$F11</f>
        <v>2.44</v>
      </c>
    </row>
    <row r="12" spans="1:8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32">
        <v>42.9</v>
      </c>
      <c r="H12" s="7">
        <f>Minimum!$G12*Minimum!$F12</f>
        <v>42.9</v>
      </c>
    </row>
    <row r="13" spans="1:8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32">
        <v>100.01</v>
      </c>
      <c r="H13" s="7">
        <f>Minimum!$G13*Minimum!$F13</f>
        <v>100.01</v>
      </c>
    </row>
    <row r="14" spans="1:8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32">
        <v>70</v>
      </c>
      <c r="H14" s="7">
        <f>Minimum!$G14*Minimum!$F14</f>
        <v>70</v>
      </c>
    </row>
    <row r="15" spans="1:8" x14ac:dyDescent="0.3">
      <c r="A15" s="9" t="s">
        <v>60</v>
      </c>
      <c r="B15" s="10" t="s">
        <v>61</v>
      </c>
      <c r="C15" s="10"/>
      <c r="D15" s="10"/>
      <c r="E15" s="10"/>
      <c r="F15" s="10">
        <v>1</v>
      </c>
      <c r="G15" s="18">
        <v>5</v>
      </c>
      <c r="H15" s="11">
        <f>Minimum!$G15*Minimum!$F15</f>
        <v>5</v>
      </c>
    </row>
    <row r="16" spans="1:8" ht="15" thickBot="1" x14ac:dyDescent="0.35">
      <c r="A16" t="s">
        <v>62</v>
      </c>
      <c r="B16" t="s">
        <v>63</v>
      </c>
      <c r="F16">
        <v>1</v>
      </c>
      <c r="G16" s="33">
        <v>40</v>
      </c>
      <c r="H16" s="11">
        <f>Minimum!$G16*Minimum!$F16</f>
        <v>40</v>
      </c>
    </row>
    <row r="17" spans="1:8" x14ac:dyDescent="0.3">
      <c r="A17" s="12" t="s">
        <v>64</v>
      </c>
      <c r="B17" s="13" t="s">
        <v>65</v>
      </c>
      <c r="C17" s="12"/>
      <c r="D17" s="12"/>
      <c r="E17" s="12"/>
      <c r="F17" s="12"/>
      <c r="G17" s="12"/>
      <c r="H17" s="14" cm="1">
        <f t="array" ref="H17">SUM(H2:H16*0.2)</f>
        <v>63.680000000000007</v>
      </c>
    </row>
    <row r="18" spans="1:8" x14ac:dyDescent="0.3">
      <c r="A18" s="15" t="s">
        <v>66</v>
      </c>
      <c r="B18" s="15"/>
      <c r="C18" s="15"/>
      <c r="D18" s="15"/>
      <c r="E18" s="15"/>
      <c r="F18" s="15"/>
      <c r="G18" s="15"/>
      <c r="H18" s="16">
        <f>SUM($H$2:$H$17)</f>
        <v>382.08</v>
      </c>
    </row>
    <row r="19" spans="1:8" x14ac:dyDescent="0.3">
      <c r="A19" s="17" t="s">
        <v>67</v>
      </c>
      <c r="B19" s="10"/>
      <c r="C19" s="10"/>
      <c r="D19" s="10"/>
      <c r="E19" s="10"/>
      <c r="F19" s="10"/>
      <c r="G19" s="10"/>
      <c r="H19" s="18">
        <f>SUM(H2:H13,H15:H16)+(0.2*SUM(H15:H16,H2:H13))</f>
        <v>298.08</v>
      </c>
    </row>
    <row r="20" spans="1:8" ht="14.4" customHeight="1" x14ac:dyDescent="0.3"/>
    <row r="21" spans="1:8" ht="14.4" customHeight="1" x14ac:dyDescent="0.3">
      <c r="A21" s="19" t="s">
        <v>68</v>
      </c>
      <c r="B21" s="19"/>
      <c r="C21" s="19"/>
      <c r="D21" s="19"/>
      <c r="E21" s="19"/>
      <c r="F21" s="19"/>
      <c r="G21" s="19"/>
      <c r="H21" s="19"/>
    </row>
    <row r="22" spans="1:8" x14ac:dyDescent="0.3">
      <c r="A22" s="19"/>
      <c r="B22" s="19"/>
      <c r="C22" s="19"/>
      <c r="D22" s="19"/>
      <c r="E22" s="19"/>
      <c r="F22" s="19"/>
      <c r="G22" s="19"/>
      <c r="H22" s="19"/>
    </row>
    <row r="23" spans="1:8" x14ac:dyDescent="0.3">
      <c r="A23" s="20" t="s">
        <v>69</v>
      </c>
      <c r="B23" s="20"/>
    </row>
  </sheetData>
  <mergeCells count="2">
    <mergeCell ref="A21:H22"/>
    <mergeCell ref="A23:B23"/>
  </mergeCells>
  <hyperlinks>
    <hyperlink ref="E2" r:id="rId1" xr:uid="{32046390-9D20-4E95-936E-007B1D9C044F}"/>
    <hyperlink ref="E3" r:id="rId2" xr:uid="{375598A1-5243-4DD2-926C-947D236448FD}"/>
    <hyperlink ref="E7" r:id="rId3" xr:uid="{187D097F-F25A-46E4-AFDA-2E779AC7D498}"/>
    <hyperlink ref="E5" r:id="rId4" xr:uid="{1B2015B6-EA3B-4B51-B7D4-00EBCEC3E768}"/>
    <hyperlink ref="E6" r:id="rId5" display="https://www.digikey.com/en/products/detail/infineon-technologies/IRF200B211/5250541" xr:uid="{5A2A8DC8-63FC-443D-AC33-844E311F9255}"/>
    <hyperlink ref="E8" r:id="rId6" xr:uid="{ACE44ECD-0ED2-4AF1-890D-586F03724B26}"/>
    <hyperlink ref="E9" r:id="rId7" xr:uid="{58DF0253-EC2E-4881-9878-9B007F638B30}"/>
    <hyperlink ref="E10" r:id="rId8" xr:uid="{EEF32F00-A16D-4CCC-A3BA-767973F49E38}"/>
    <hyperlink ref="E11" r:id="rId9" xr:uid="{8D15455B-AA7A-47C6-9E90-212B41F4A8A0}"/>
    <hyperlink ref="E12" r:id="rId10" location="order-start-development" xr:uid="{B3A6C5F1-4DED-4D01-A760-60C875334C73}"/>
    <hyperlink ref="E13" r:id="rId11" xr:uid="{EDD8EE77-0F22-435D-8F9B-0EB0F5B6557B}"/>
  </hyperlinks>
  <pageMargins left="0.7" right="0.7" top="0.75" bottom="0.75" header="0.3" footer="0.3"/>
  <pageSetup orientation="portrait"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3C132-7A10-4C14-8263-4317770C79E9}">
  <dimension ref="A1:I19"/>
  <sheetViews>
    <sheetView zoomScale="70" zoomScaleNormal="70" workbookViewId="0">
      <selection activeCell="I19" sqref="I19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106.6640625" customWidth="1"/>
    <col min="6" max="6" width="22.88671875" bestFit="1" customWidth="1"/>
    <col min="7" max="7" width="17.6640625" bestFit="1" customWidth="1"/>
    <col min="8" max="8" width="12.21875" bestFit="1" customWidth="1"/>
    <col min="9" max="9" width="11.88671875" bestFit="1" customWidth="1"/>
  </cols>
  <sheetData>
    <row r="1" spans="1:9" x14ac:dyDescent="0.3">
      <c r="A1" s="31" t="s">
        <v>77</v>
      </c>
      <c r="B1" s="30" t="s">
        <v>76</v>
      </c>
      <c r="C1" s="30" t="s">
        <v>75</v>
      </c>
      <c r="D1" s="30" t="s">
        <v>74</v>
      </c>
      <c r="E1" s="30" t="s">
        <v>73</v>
      </c>
      <c r="F1" s="30" t="s">
        <v>72</v>
      </c>
      <c r="G1" s="30" t="s">
        <v>71</v>
      </c>
      <c r="H1" s="30" t="s">
        <v>70</v>
      </c>
      <c r="I1" s="29" t="s">
        <v>7</v>
      </c>
    </row>
    <row r="2" spans="1:9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6">
        <v>10</v>
      </c>
      <c r="H2" s="32">
        <v>3.61</v>
      </c>
      <c r="I2" s="7">
        <f>Suggested!$H2*Suggested!$G2</f>
        <v>36.1</v>
      </c>
    </row>
    <row r="3" spans="1:9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6">
        <v>2</v>
      </c>
      <c r="H3" s="32">
        <v>20.09</v>
      </c>
      <c r="I3" s="7">
        <f>Suggested!$H3*Suggested!$G3</f>
        <v>40.18</v>
      </c>
    </row>
    <row r="4" spans="1:9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5"/>
      <c r="H4" s="32"/>
      <c r="I4" s="7">
        <f>Suggested!$H4*Suggested!$G4</f>
        <v>0</v>
      </c>
    </row>
    <row r="5" spans="1:9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6">
        <v>10</v>
      </c>
      <c r="H5" s="32">
        <v>0.25</v>
      </c>
      <c r="I5" s="7">
        <f>Suggested!$H5*Suggested!$G5</f>
        <v>2.5</v>
      </c>
    </row>
    <row r="6" spans="1:9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6">
        <v>3</v>
      </c>
      <c r="H6" s="32">
        <v>2.23</v>
      </c>
      <c r="I6" s="7">
        <f>Suggested!$H6*Suggested!$G6</f>
        <v>6.6899999999999995</v>
      </c>
    </row>
    <row r="7" spans="1:9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6">
        <v>3</v>
      </c>
      <c r="H7" s="32">
        <v>1.29</v>
      </c>
      <c r="I7" s="7">
        <f>Suggested!$H7*Suggested!$G7</f>
        <v>3.87</v>
      </c>
    </row>
    <row r="8" spans="1:9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6">
        <v>2</v>
      </c>
      <c r="H8" s="32">
        <v>4.55</v>
      </c>
      <c r="I8" s="7">
        <f>Suggested!$H8*Suggested!$G8</f>
        <v>9.1</v>
      </c>
    </row>
    <row r="9" spans="1:9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6">
        <v>2</v>
      </c>
      <c r="H9" s="32">
        <v>0.72</v>
      </c>
      <c r="I9" s="7">
        <f>Suggested!$H9*Suggested!$G9</f>
        <v>1.44</v>
      </c>
    </row>
    <row r="10" spans="1:9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6">
        <v>5</v>
      </c>
      <c r="H10" s="32">
        <v>1.94</v>
      </c>
      <c r="I10" s="7">
        <f>Suggested!$H10*Suggested!$G10</f>
        <v>9.6999999999999993</v>
      </c>
    </row>
    <row r="11" spans="1:9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6">
        <v>2</v>
      </c>
      <c r="H11" s="32">
        <v>2.44</v>
      </c>
      <c r="I11" s="7">
        <f>Suggested!$H11*Suggested!$G11</f>
        <v>4.88</v>
      </c>
    </row>
    <row r="12" spans="1:9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6">
        <v>1</v>
      </c>
      <c r="H12" s="32">
        <v>42.9</v>
      </c>
      <c r="I12" s="7">
        <f>F12*H12</f>
        <v>42.9</v>
      </c>
    </row>
    <row r="13" spans="1:9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6">
        <v>1</v>
      </c>
      <c r="H13" s="32">
        <v>100.01</v>
      </c>
      <c r="I13" s="7">
        <f>F13*H13</f>
        <v>100.01</v>
      </c>
    </row>
    <row r="14" spans="1:9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5">
        <v>1</v>
      </c>
      <c r="H14" s="32">
        <v>70</v>
      </c>
      <c r="I14" s="7">
        <f>Suggested!$H14*Suggested!$G14</f>
        <v>70</v>
      </c>
    </row>
    <row r="15" spans="1:9" x14ac:dyDescent="0.3">
      <c r="A15" s="4" t="s">
        <v>60</v>
      </c>
      <c r="B15" s="5" t="s">
        <v>61</v>
      </c>
      <c r="C15" s="5"/>
      <c r="D15" s="5"/>
      <c r="E15" s="5"/>
      <c r="F15" s="5">
        <v>1</v>
      </c>
      <c r="G15" s="5">
        <v>1</v>
      </c>
      <c r="H15" s="32">
        <v>5</v>
      </c>
      <c r="I15" s="7">
        <f>F15*H15</f>
        <v>5</v>
      </c>
    </row>
    <row r="16" spans="1:9" ht="15" thickBot="1" x14ac:dyDescent="0.35">
      <c r="A16" s="9" t="s">
        <v>62</v>
      </c>
      <c r="B16" s="10" t="s">
        <v>63</v>
      </c>
      <c r="C16" s="10"/>
      <c r="D16" s="10"/>
      <c r="E16" s="10"/>
      <c r="F16" s="10">
        <v>1</v>
      </c>
      <c r="G16" s="10">
        <v>1</v>
      </c>
      <c r="H16" s="18">
        <v>40</v>
      </c>
      <c r="I16" s="11">
        <v>40</v>
      </c>
    </row>
    <row r="17" spans="1:9" x14ac:dyDescent="0.3">
      <c r="A17" s="28" t="s">
        <v>64</v>
      </c>
      <c r="B17" s="13" t="s">
        <v>65</v>
      </c>
      <c r="C17" s="5"/>
      <c r="D17" s="12"/>
      <c r="E17" s="12"/>
      <c r="F17" s="12"/>
      <c r="G17" s="12"/>
      <c r="H17" s="12"/>
      <c r="I17" s="27" cm="1">
        <f t="array" ref="I17">SUM(I2:I16*0.2)</f>
        <v>74.474000000000004</v>
      </c>
    </row>
    <row r="18" spans="1:9" x14ac:dyDescent="0.3">
      <c r="A18" s="26" t="s">
        <v>66</v>
      </c>
      <c r="B18" s="25"/>
      <c r="C18" s="15"/>
      <c r="D18" s="15"/>
      <c r="E18" s="15"/>
      <c r="F18" s="15"/>
      <c r="G18" s="15"/>
      <c r="H18" s="15"/>
      <c r="I18" s="24">
        <f>SUM($I$2:$I$17)</f>
        <v>446.84399999999999</v>
      </c>
    </row>
    <row r="19" spans="1:9" ht="15" thickBot="1" x14ac:dyDescent="0.35">
      <c r="A19" s="23" t="s">
        <v>67</v>
      </c>
      <c r="B19" s="22"/>
      <c r="C19" s="22"/>
      <c r="D19" s="22"/>
      <c r="E19" s="22"/>
      <c r="F19" s="22"/>
      <c r="G19" s="22"/>
      <c r="H19" s="22"/>
      <c r="I19" s="21">
        <f>SUM(I2:I13,I15:I16)+(0.2*SUM(I15:I16,I2:I13))</f>
        <v>362.84399999999999</v>
      </c>
    </row>
  </sheetData>
  <hyperlinks>
    <hyperlink ref="E2" r:id="rId1" xr:uid="{69305AF7-F8DE-4433-BD6C-861CA4A01ECA}"/>
    <hyperlink ref="E3" r:id="rId2" xr:uid="{DC79CEC3-02DF-48A4-9BB7-C8EEDF66D396}"/>
    <hyperlink ref="E7" r:id="rId3" xr:uid="{3BB9B759-0310-4D05-A569-EF403CB5FEEF}"/>
    <hyperlink ref="E5" r:id="rId4" xr:uid="{CF6E5197-90E8-431E-9134-6C716007D17F}"/>
    <hyperlink ref="E6" r:id="rId5" display="https://www.digikey.com/en/products/detail/infineon-technologies/IRF200B211/5250541" xr:uid="{CD51087A-97E7-4674-9BF9-C2942C4BFDCC}"/>
    <hyperlink ref="E8" r:id="rId6" xr:uid="{806D16EB-DB48-4B06-946E-C69FC92FE246}"/>
    <hyperlink ref="E9" r:id="rId7" xr:uid="{48CBE999-4D08-4E67-9756-CCA2C13BFFBB}"/>
    <hyperlink ref="E10" r:id="rId8" xr:uid="{F98AB2F7-1D9F-43D7-9482-17FD10D28B38}"/>
    <hyperlink ref="E11" r:id="rId9" xr:uid="{28B42081-5F55-478D-B503-37A73E266D05}"/>
    <hyperlink ref="E12" r:id="rId10" location="order-start-development" xr:uid="{0C52CC20-17C8-4659-9100-1808F523DF11}"/>
    <hyperlink ref="E13" r:id="rId11" xr:uid="{E20AC6BD-9120-457A-8435-2F862E7A426F}"/>
  </hyperlinks>
  <pageMargins left="0.7" right="0.7" top="0.75" bottom="0.75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Minimum</vt:lpstr>
      <vt:lpstr>Suggested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2026-09-24T16:44:29Z</dcterms:created>
  <dcterms:modified xsi:type="dcterms:W3CDTF">2026-09-24T17:09:14Z</dcterms:modified>
</cp:coreProperties>
</file>