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razano\Acedemic\Research\Battery-Charger\Battery Charger Project\Excel\BOM\"/>
    </mc:Choice>
  </mc:AlternateContent>
  <xr:revisionPtr revIDLastSave="0" documentId="13_ncr:1_{586F8AF0-FF7B-4029-AD82-078A7065455B}" xr6:coauthVersionLast="47" xr6:coauthVersionMax="47" xr10:uidLastSave="{00000000-0000-0000-0000-000000000000}"/>
  <bookViews>
    <workbookView xWindow="-96" yWindow="0" windowWidth="11712" windowHeight="12336" xr2:uid="{399A400B-C522-4FE4-B704-6D3A9F06170E}"/>
  </bookViews>
  <sheets>
    <sheet name="Minimum" sheetId="3" r:id="rId1"/>
    <sheet name="Suggested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7" i="4" l="1" a="1"/>
  <c r="I17" i="4" s="1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H2" i="3"/>
  <c r="H3" i="3"/>
  <c r="H17" i="3" s="1" a="1"/>
  <c r="H17" i="3" s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9" i="3"/>
  <c r="I19" i="4" l="1"/>
  <c r="I18" i="4"/>
  <c r="H1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<sst xmlns="http://schemas.openxmlformats.org/spreadsheetml/2006/main" count="155" uniqueCount="80">
  <si>
    <t>Item use</t>
  </si>
  <si>
    <t>Description</t>
  </si>
  <si>
    <t>Product number</t>
  </si>
  <si>
    <t>Vendor</t>
  </si>
  <si>
    <t>Link</t>
  </si>
  <si>
    <t>Min quantity</t>
  </si>
  <si>
    <t>Unit price</t>
  </si>
  <si>
    <t>Total cost</t>
  </si>
  <si>
    <t>Rectifier Capacitor</t>
  </si>
  <si>
    <t>CAP ALUM 560UF 20% 200V SNAP TH</t>
  </si>
  <si>
    <t>493-8516-ND</t>
  </si>
  <si>
    <t>DigiKey</t>
  </si>
  <si>
    <t>https://www.digikey.com/en/products/detail/nichicon/LGW2D561MELA30/1966872</t>
  </si>
  <si>
    <t>Three Phase Rectifier</t>
  </si>
  <si>
    <t>Bridge Rectifiers 200V 30A Power Diode Discretes-FRED i4-Pac</t>
  </si>
  <si>
    <t>DPF30U200FC</t>
  </si>
  <si>
    <t>MOUSER</t>
  </si>
  <si>
    <t>https://www.mouser.com/en/ProductDetail/IXYS/DPF30U200FC?qs=rQFj71Wb1eWHztVyBgjseQ%3D%3D</t>
  </si>
  <si>
    <t>Buck Inductor</t>
  </si>
  <si>
    <t>437uH GE Inductor (Already in lab)</t>
  </si>
  <si>
    <t>LC200-0185</t>
  </si>
  <si>
    <t>Buck Capacitor</t>
  </si>
  <si>
    <t>10 µF 50 V Aluminum Electrolytic Capacitors Radial, Can 5000 Hrs @ 105°C</t>
  </si>
  <si>
    <t>EEU-FR1H100</t>
  </si>
  <si>
    <t>https://www.digikey.com/en/products/detail/panasonic-industry/EEU-FR1H100/9921028</t>
  </si>
  <si>
    <t>MOSFET</t>
  </si>
  <si>
    <t>MOSFET N-CH 200V 12A TO220AB</t>
  </si>
  <si>
    <t>IRF200B211</t>
  </si>
  <si>
    <t>IRF200B211 Infineon Technologies | Single FETs, MOSFETs | DigiKey</t>
  </si>
  <si>
    <t>Diode</t>
  </si>
  <si>
    <t>DIODE SCHOTTKY 200V 10A TO220AC</t>
  </si>
  <si>
    <t>MBR10200_T0_00001</t>
  </si>
  <si>
    <t>https://www.digikey.com/en/products/detail/panjit-international-inc/MBR10200-T0-00001/15799461</t>
  </si>
  <si>
    <t>Current sense IC</t>
  </si>
  <si>
    <t>CURRENT SENSOR HE 10-SOIC</t>
  </si>
  <si>
    <t>TMCS1133C5AQDVGR</t>
  </si>
  <si>
    <t>https://www.digikey.com/en/products/detail/texas-instruments/TMCS1133C5AQDVGR/23331381</t>
  </si>
  <si>
    <t>Generator conn</t>
  </si>
  <si>
    <t>TERM BLK 3POS SIDE ENTRY 5MM PCB</t>
  </si>
  <si>
    <t>277-1578-ND</t>
  </si>
  <si>
    <t>https://www.digikey.com/en/products/detail/phoenix-contact/1935174/568615</t>
  </si>
  <si>
    <t>Battery conn</t>
  </si>
  <si>
    <t>TERM BLK 2POS SIDE ENT 3.5MM PCB</t>
  </si>
  <si>
    <t>284391-2</t>
  </si>
  <si>
    <t>https://www.digikey.com/en/products/detail/te-connectivity-amp-connectors/284391-2/1827021</t>
  </si>
  <si>
    <t>Signal conn</t>
  </si>
  <si>
    <t>TERM BLK 3POS SIDE ENT 3.5MM PCB</t>
  </si>
  <si>
    <t>284391-3</t>
  </si>
  <si>
    <t>https://www.digikey.com/en/products/detail/te-connectivity-amp-connectors/284391-3/1827022</t>
  </si>
  <si>
    <t>MCU board</t>
  </si>
  <si>
    <t>F28379D LaunchPad™ development kit for C2000™ Delfino™ MCU</t>
  </si>
  <si>
    <t>LAUNCHXL-F28379D</t>
  </si>
  <si>
    <t>Texas Instruments</t>
  </si>
  <si>
    <t>https://www.ti.com/tool/LAUNCHXL-F28379D</t>
  </si>
  <si>
    <t>Gate driver eval board</t>
  </si>
  <si>
    <t>EVAL BOARD FOR STGAP2HDM</t>
  </si>
  <si>
    <t>EVALSTGAP2HDM</t>
  </si>
  <si>
    <t>https://www.digikey.com/en/products/detail/stmicroelectronics/EVALSTGAP2HDM/</t>
  </si>
  <si>
    <t>PCBs</t>
  </si>
  <si>
    <t>5 pack</t>
  </si>
  <si>
    <t>MISC</t>
  </si>
  <si>
    <t>Voltage divider resistiors and decoupling capacitors</t>
  </si>
  <si>
    <t>Shipping</t>
  </si>
  <si>
    <t>Estimate of shipping for components</t>
  </si>
  <si>
    <t xml:space="preserve">Contingency </t>
  </si>
  <si>
    <t>20% contingency</t>
  </si>
  <si>
    <t>TOTAL</t>
  </si>
  <si>
    <t>TOTAL excluding PCBs</t>
  </si>
  <si>
    <t>COST PER PROTOTYPE</t>
  </si>
  <si>
    <t>NOTE: PCBs will not need to be bought for every prototype because they come in a pack</t>
  </si>
  <si>
    <t>unit price</t>
  </si>
  <si>
    <t>Quantity</t>
  </si>
  <si>
    <t>min quantity</t>
  </si>
  <si>
    <t>link</t>
  </si>
  <si>
    <t>vendor</t>
  </si>
  <si>
    <t>product number</t>
  </si>
  <si>
    <t>Item description</t>
  </si>
  <si>
    <t>item use</t>
  </si>
  <si>
    <t>https://www.mouser.com/en/ProductDetail/Phoenix-Contact/1935174?qs=QWULklcAmSR8B7o4YouITA%3D%3D</t>
  </si>
  <si>
    <t>IRF200B211-ND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</si>
</sst>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5" xfId="1" applyFill="1" applyBorder="1"/>
    <xf numFmtId="164" fontId="0" fillId="0" borderId="6" xfId="0" applyNumberFormat="1" applyBorder="1"/>
    <xf numFmtId="49" fontId="0" fillId="0" borderId="5" xfId="0" applyNumberFormat="1" applyBorder="1"/>
    <xf numFmtId="0" fontId="0" fillId="0" borderId="7" xfId="0" applyBorder="1"/>
    <xf numFmtId="0" fontId="0" fillId="0" borderId="8" xfId="0" applyBorder="1"/>
    <xf numFmtId="164" fontId="0" fillId="0" borderId="9" xfId="0" applyNumberFormat="1" applyBorder="1"/>
    <xf numFmtId="0" fontId="2" fillId="0" borderId="10" xfId="0" applyFont="1" applyBorder="1"/>
    <xf numFmtId="0" fontId="0" fillId="0" borderId="10" xfId="0" applyBorder="1"/>
    <xf numFmtId="164" fontId="0" fillId="0" borderId="10" xfId="0" applyNumberFormat="1" applyBorder="1"/>
    <xf numFmtId="0" fontId="2" fillId="2" borderId="5" xfId="0" applyFont="1" applyFill="1" applyBorder="1"/>
    <xf numFmtId="164" fontId="2" fillId="2" borderId="5" xfId="0" applyNumberFormat="1" applyFont="1" applyFill="1" applyBorder="1"/>
    <xf numFmtId="0" fontId="2" fillId="0" borderId="8" xfId="0" applyFont="1" applyBorder="1"/>
    <xf numFmtId="164" fontId="0" fillId="0" borderId="8" xfId="0" applyNumberFormat="1" applyBorder="1"/>
    <xf numFmtId="164" fontId="0" fillId="0" borderId="11" xfId="0" applyNumberFormat="1" applyBorder="1"/>
    <xf numFmtId="0" fontId="0" fillId="0" borderId="12" xfId="0" applyBorder="1"/>
    <xf numFmtId="0" fontId="2" fillId="0" borderId="13" xfId="0" applyFont="1" applyBorder="1"/>
    <xf numFmtId="164" fontId="2" fillId="2" borderId="14" xfId="0" applyNumberFormat="1" applyFont="1" applyFill="1" applyBorder="1"/>
    <xf numFmtId="0" fontId="0" fillId="2" borderId="5" xfId="0" applyFill="1" applyBorder="1"/>
    <xf numFmtId="0" fontId="2" fillId="2" borderId="15" xfId="0" applyFont="1" applyFill="1" applyBorder="1"/>
    <xf numFmtId="164" fontId="0" fillId="0" borderId="16" xfId="0" applyNumberFormat="1" applyBorder="1"/>
    <xf numFmtId="0" fontId="2" fillId="0" borderId="17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  <xf numFmtId="164" fontId="0" fillId="0" borderId="5" xfId="0" applyNumberFormat="1" applyBorder="1"/>
    <xf numFmtId="164" fontId="0" fillId="0" borderId="0" xfId="0" applyNumberForma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28"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$&quot;#,##0.00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/>
      </border>
    </dxf>
    <dxf>
      <fill>
        <patternFill patternType="none"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/>
      </border>
    </dxf>
    <dxf>
      <fill>
        <patternFill patternType="none"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/>
      </border>
    </dxf>
    <dxf>
      <fill>
        <patternFill patternType="none"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/>
      </border>
    </dxf>
    <dxf>
      <fill>
        <patternFill patternType="none"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/>
      </border>
    </dxf>
    <dxf>
      <fill>
        <patternFill patternType="none"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/>
      </border>
    </dxf>
    <dxf>
      <fill>
        <patternFill patternType="none"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/>
      </border>
    </dxf>
    <dxf>
      <fill>
        <patternFill patternType="none"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indexed="64"/>
        </top>
        <bottom/>
      </border>
    </dxf>
    <dxf>
      <fill>
        <patternFill patternType="none">
          <bgColor auto="1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AF1036-AA28-4E30-BD9A-19D4203E5E9C}" name="Table9" displayName="Table9" ref="A1:H19" headerRowDxfId="27" dataDxfId="25" headerRowBorderDxfId="26" tableBorderDxfId="24" totalsRowBorderDxfId="23">
  <autoFilter ref="A1:H19" xr:uid="{59A65182-955A-411F-909C-5E992C97166C}"/>
  <tableColumns count="8">
    <tableColumn id="1" xr3:uid="{24419B8B-FF43-4B51-A546-C265CCDC1D88}" name="Item use" totalsRowLabel="Total" dataDxfId="22" totalsRowDxfId="21"/>
    <tableColumn id="2" xr3:uid="{73565926-C3E1-4407-88D4-758E382675EA}" name="Description" dataDxfId="20" totalsRowDxfId="19"/>
    <tableColumn id="3" xr3:uid="{33CB0387-9EC9-4F69-99BC-9960DEF33C0D}" name="Product number" dataDxfId="18" totalsRowDxfId="17"/>
    <tableColumn id="4" xr3:uid="{CDA3F275-2D24-4F2E-AAF7-0E5247C18A95}" name="Vendor" dataDxfId="16" totalsRowDxfId="15"/>
    <tableColumn id="5" xr3:uid="{4B82A4F9-F428-4DF2-B1D8-CB81C6BF65C0}" name="Link" dataDxfId="14" totalsRowDxfId="13"/>
    <tableColumn id="6" xr3:uid="{35F514A8-DBF2-480B-8998-E9F53152D339}" name="Min quantity" dataDxfId="12" totalsRowDxfId="11"/>
    <tableColumn id="7" xr3:uid="{10F70241-F70D-4760-BF6C-25A92BDA41AD}" name="Unit price" dataDxfId="10" totalsRowDxfId="9"/>
    <tableColumn id="8" xr3:uid="{11A43384-0E2E-44C1-835E-B53743CB0889}" name="Total cost" totalsRowFunction="sum" dataDxfId="8" totalsRowDxfId="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A5CCCD-EF1A-41C4-9A28-211F14A4F8B5}" name="Table10" displayName="Table10" ref="A1:I19" totalsRowShown="0" headerRowDxfId="6" headerRowBorderDxfId="5" tableBorderDxfId="4" totalsRowBorderDxfId="3">
  <autoFilter ref="A1:I19" xr:uid="{D59A0370-B28F-4833-BBF6-73CA5F258DAA}"/>
  <tableColumns count="9">
    <tableColumn id="1" xr3:uid="{A671E009-E1D1-415B-AB06-EBE4E463EC9A}" name="item use" dataDxfId="2"/>
    <tableColumn id="2" xr3:uid="{332D8203-1DEB-4D23-ABFF-7DDE266D779A}" name="Item description" dataDxfId="1"/>
    <tableColumn id="3" xr3:uid="{95FDF01E-D6FB-462C-A67F-6650D8DA5A69}" name="product number" dataDxfId="0"/>
    <tableColumn id="4" xr3:uid="{D4E2AD05-99DD-45B5-AF98-5F14CE702324}" name="vendor"/>
    <tableColumn id="5" xr3:uid="{0EE3A759-7F48-4DA9-967C-886AD9B2FF61}" name="link"/>
    <tableColumn id="6" xr3:uid="{79309A75-CAC8-4BB4-B390-BF5EE7718A07}" name="min quantity"/>
    <tableColumn id="7" xr3:uid="{14865014-C08A-4EF3-88DE-ED13C35C43CB}" name="Quantity"/>
    <tableColumn id="8" xr3:uid="{27596AD4-FD25-425D-844E-0F45D97ADE84}" name="unit price"/>
    <tableColumn id="9" xr3:uid="{219B9DC7-A358-492B-9068-479CD40DD8B0}" name="Total cos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te-connectivity-amp-connectors/284391-2/1827021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www.digikey.com/en/products/detail/panjit-international-inc/MBR10200-T0-00001/15799461" TargetMode="External"/><Relationship Id="rId7" Type="http://schemas.openxmlformats.org/officeDocument/2006/relationships/hyperlink" Target="https://www.mouser.com/en/ProductDetail/Phoenix-Contact/1935174?qs=QWULklcAmSR8B7o4YouITA%3D%3D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mouser.com/en/ProductDetail/IXYS/DPF30U200FC?qs=rQFj71Wb1eWHztVyBgjseQ%3D%3D" TargetMode="External"/><Relationship Id="rId1" Type="http://schemas.openxmlformats.org/officeDocument/2006/relationships/hyperlink" Target="https://www.digikey.com/en/products/detail/nichicon/LGW2D561MELA30/1966872" TargetMode="External"/><Relationship Id="rId6" Type="http://schemas.openxmlformats.org/officeDocument/2006/relationships/hyperlink" Target="https://www.digikey.com/en/products/detail/texas-instruments/TMCS1133C5AQDVGR/23331381" TargetMode="External"/><Relationship Id="rId11" Type="http://schemas.openxmlformats.org/officeDocument/2006/relationships/hyperlink" Target="https://www.digikey.com/en/products/detail/stmicroelectronics/EVALSTGAP2HDM/15706452?s=N4IgjCBcoLQBxVAYygMwIYBsDOBTANCAPZQDaIALAJwDsIAugL6OEBMZIAogGoCCAMgGUAKgHFeABVYAJACIBZBoyA" TargetMode="External"/><Relationship Id="rId5" Type="http://schemas.openxmlformats.org/officeDocument/2006/relationships/hyperlink" Target="https://www.digikey.com/en/products/detail/infineon-technologies/IRF200B211/5250541" TargetMode="External"/><Relationship Id="rId10" Type="http://schemas.openxmlformats.org/officeDocument/2006/relationships/hyperlink" Target="https://www.ti.com/tool/LAUNCHXL-F28379D?keyMatch=LAUNCHXL-F28379D&amp;tisearch=universal_search&amp;usecase=hardware" TargetMode="External"/><Relationship Id="rId4" Type="http://schemas.openxmlformats.org/officeDocument/2006/relationships/hyperlink" Target="https://www.digikey.com/en/products/detail/panasonic-industry/EEU-FR1H100/9921028" TargetMode="External"/><Relationship Id="rId9" Type="http://schemas.openxmlformats.org/officeDocument/2006/relationships/hyperlink" Target="https://www.digikey.com/en/products/detail/te-connectivity-amp-connectors/284391-3/1827022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te-connectivity-amp-connectors/284391-2/1827021" TargetMode="External"/><Relationship Id="rId3" Type="http://schemas.openxmlformats.org/officeDocument/2006/relationships/hyperlink" Target="https://www.digikey.com/en/products/detail/panjit-international-inc/MBR10200-T0-00001/15799461" TargetMode="External"/><Relationship Id="rId7" Type="http://schemas.openxmlformats.org/officeDocument/2006/relationships/hyperlink" Target="https://www.digikey.com/en/products/detail/phoenix-contact/1935174/568615" TargetMode="External"/><Relationship Id="rId12" Type="http://schemas.openxmlformats.org/officeDocument/2006/relationships/table" Target="../tables/table2.xml"/><Relationship Id="rId2" Type="http://schemas.openxmlformats.org/officeDocument/2006/relationships/hyperlink" Target="https://www.mouser.com/en/ProductDetail/IXYS/DPF30U200FC?qs=rQFj71Wb1eWHztVyBgjseQ%3D%3D" TargetMode="External"/><Relationship Id="rId1" Type="http://schemas.openxmlformats.org/officeDocument/2006/relationships/hyperlink" Target="https://www.digikey.com/en/products/detail/nichicon/LGW2D561MELA30/1966872" TargetMode="External"/><Relationship Id="rId6" Type="http://schemas.openxmlformats.org/officeDocument/2006/relationships/hyperlink" Target="https://www.digikey.com/en/products/detail/texas-instruments/TMCS1133C5AQDVGR/23331381" TargetMode="External"/><Relationship Id="rId11" Type="http://schemas.openxmlformats.org/officeDocument/2006/relationships/hyperlink" Target="https://www.digikey.com/en/products/detail/stmicroelectronics/EVALSTGAP2HDM/15706452?s=N4IgjCBcoLQBxVAYygMwIYBsDOBTANCAPZQDaIALAJwDsIAugL6OEBMZIAogGoCCAMgGUAKgHFeABVYAJACIBZBoyA" TargetMode="External"/><Relationship Id="rId5" Type="http://schemas.openxmlformats.org/officeDocument/2006/relationships/hyperlink" Target="https://www.digikey.com/en/products/detail/infineon-technologies/IRF200B211/5250541" TargetMode="External"/><Relationship Id="rId10" Type="http://schemas.openxmlformats.org/officeDocument/2006/relationships/hyperlink" Target="https://www.ti.com/tool/LAUNCHXL-F28379D?keyMatch=LAUNCHXL-F28379D&amp;tisearch=universal_search&amp;usecase=hardware" TargetMode="External"/><Relationship Id="rId4" Type="http://schemas.openxmlformats.org/officeDocument/2006/relationships/hyperlink" Target="https://www.digikey.com/en/products/detail/panasonic-industry/EEU-FR1H100/9921028" TargetMode="External"/><Relationship Id="rId9" Type="http://schemas.openxmlformats.org/officeDocument/2006/relationships/hyperlink" Target="https://www.digikey.com/en/products/detail/te-connectivity-amp-connectors/284391-3/1827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8B7F-D3DD-4982-98A6-18382FC88934}">
  <dimension ref="A1:H23"/>
  <sheetViews>
    <sheetView tabSelected="1" zoomScale="70" zoomScaleNormal="70" workbookViewId="0">
      <selection activeCell="C6" sqref="C6"/>
    </sheetView>
  </sheetViews>
  <sheetFormatPr defaultRowHeight="14.4" x14ac:dyDescent="0.3"/>
  <cols>
    <col min="1" max="1" width="20.88671875" bestFit="1" customWidth="1"/>
    <col min="2" max="2" width="62.5546875" bestFit="1" customWidth="1"/>
    <col min="3" max="3" width="19.109375" bestFit="1" customWidth="1"/>
    <col min="4" max="4" width="15.88671875" bestFit="1" customWidth="1"/>
    <col min="5" max="5" width="92.21875" bestFit="1" customWidth="1"/>
    <col min="6" max="6" width="14.109375" customWidth="1"/>
    <col min="7" max="7" width="11.44140625" customWidth="1"/>
    <col min="8" max="8" width="11.2187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s="4" t="s">
        <v>8</v>
      </c>
      <c r="B2" s="5" t="s">
        <v>9</v>
      </c>
      <c r="C2" s="5" t="s">
        <v>10</v>
      </c>
      <c r="D2" s="5" t="s">
        <v>11</v>
      </c>
      <c r="E2" s="6" t="s">
        <v>12</v>
      </c>
      <c r="F2" s="5">
        <v>4</v>
      </c>
      <c r="G2" s="30">
        <v>5.25</v>
      </c>
      <c r="H2" s="7">
        <f>Minimum!$G2*Minimum!$F2</f>
        <v>21</v>
      </c>
    </row>
    <row r="3" spans="1:8" x14ac:dyDescent="0.3">
      <c r="A3" s="4" t="s">
        <v>13</v>
      </c>
      <c r="B3" s="5" t="s">
        <v>14</v>
      </c>
      <c r="C3" s="5" t="s">
        <v>15</v>
      </c>
      <c r="D3" s="5" t="s">
        <v>16</v>
      </c>
      <c r="E3" s="6" t="s">
        <v>17</v>
      </c>
      <c r="F3" s="5">
        <v>1</v>
      </c>
      <c r="G3" s="30">
        <v>20.09</v>
      </c>
      <c r="H3" s="7">
        <f>Minimum!$G3*Minimum!$F3</f>
        <v>20.09</v>
      </c>
    </row>
    <row r="4" spans="1:8" x14ac:dyDescent="0.3">
      <c r="A4" s="4" t="s">
        <v>18</v>
      </c>
      <c r="B4" s="5" t="s">
        <v>19</v>
      </c>
      <c r="C4" s="5" t="s">
        <v>20</v>
      </c>
      <c r="D4" s="5"/>
      <c r="E4" s="5"/>
      <c r="F4" s="5">
        <v>1</v>
      </c>
      <c r="G4" s="30"/>
      <c r="H4" s="7">
        <f>Minimum!$G4*Minimum!$F4</f>
        <v>0</v>
      </c>
    </row>
    <row r="5" spans="1:8" x14ac:dyDescent="0.3">
      <c r="A5" s="4" t="s">
        <v>21</v>
      </c>
      <c r="B5" s="5" t="s">
        <v>22</v>
      </c>
      <c r="C5" s="5" t="s">
        <v>23</v>
      </c>
      <c r="D5" s="5" t="s">
        <v>11</v>
      </c>
      <c r="E5" s="6" t="s">
        <v>24</v>
      </c>
      <c r="F5" s="5">
        <v>1</v>
      </c>
      <c r="G5" s="30">
        <v>0.41</v>
      </c>
      <c r="H5" s="7">
        <f>Minimum!$G5*Minimum!$F5</f>
        <v>0.41</v>
      </c>
    </row>
    <row r="6" spans="1:8" x14ac:dyDescent="0.3">
      <c r="A6" s="4" t="s">
        <v>25</v>
      </c>
      <c r="B6" s="5" t="s">
        <v>26</v>
      </c>
      <c r="C6" s="5" t="s">
        <v>79</v>
      </c>
      <c r="D6" s="5" t="s">
        <v>11</v>
      </c>
      <c r="E6" s="6" t="s">
        <v>28</v>
      </c>
      <c r="F6" s="5">
        <v>1</v>
      </c>
      <c r="G6" s="30">
        <v>2.23</v>
      </c>
      <c r="H6" s="7">
        <f>Minimum!$G6*Minimum!$F6</f>
        <v>2.23</v>
      </c>
    </row>
    <row r="7" spans="1:8" x14ac:dyDescent="0.3">
      <c r="A7" s="4" t="s">
        <v>29</v>
      </c>
      <c r="B7" s="5" t="s">
        <v>30</v>
      </c>
      <c r="C7" s="5" t="s">
        <v>31</v>
      </c>
      <c r="D7" s="5" t="s">
        <v>11</v>
      </c>
      <c r="E7" s="6" t="s">
        <v>32</v>
      </c>
      <c r="F7" s="5">
        <v>1</v>
      </c>
      <c r="G7" s="30">
        <v>1.29</v>
      </c>
      <c r="H7" s="7">
        <f>Minimum!$G7*Minimum!$F7</f>
        <v>1.29</v>
      </c>
    </row>
    <row r="8" spans="1:8" x14ac:dyDescent="0.3">
      <c r="A8" s="4" t="s">
        <v>33</v>
      </c>
      <c r="B8" s="5" t="s">
        <v>34</v>
      </c>
      <c r="C8" s="5" t="s">
        <v>35</v>
      </c>
      <c r="D8" s="5" t="s">
        <v>11</v>
      </c>
      <c r="E8" s="6" t="s">
        <v>36</v>
      </c>
      <c r="F8" s="5">
        <v>1</v>
      </c>
      <c r="G8" s="30">
        <v>4.55</v>
      </c>
      <c r="H8" s="7">
        <f>Minimum!$G8*Minimum!$F8</f>
        <v>4.55</v>
      </c>
    </row>
    <row r="9" spans="1:8" x14ac:dyDescent="0.3">
      <c r="A9" s="4" t="s">
        <v>37</v>
      </c>
      <c r="B9" s="5" t="s">
        <v>38</v>
      </c>
      <c r="C9" s="5" t="s">
        <v>39</v>
      </c>
      <c r="D9" s="5" t="s">
        <v>16</v>
      </c>
      <c r="E9" s="6" t="s">
        <v>78</v>
      </c>
      <c r="F9" s="5">
        <v>1</v>
      </c>
      <c r="G9" s="30">
        <v>0.72</v>
      </c>
      <c r="H9" s="7">
        <f>Minimum!$G9*Minimum!$F9</f>
        <v>0.72</v>
      </c>
    </row>
    <row r="10" spans="1:8" x14ac:dyDescent="0.3">
      <c r="A10" s="4" t="s">
        <v>41</v>
      </c>
      <c r="B10" s="5" t="s">
        <v>42</v>
      </c>
      <c r="C10" s="5" t="s">
        <v>43</v>
      </c>
      <c r="D10" s="5" t="s">
        <v>11</v>
      </c>
      <c r="E10" s="6" t="s">
        <v>44</v>
      </c>
      <c r="F10" s="5">
        <v>4</v>
      </c>
      <c r="G10" s="30">
        <v>1.94</v>
      </c>
      <c r="H10" s="7">
        <f>Minimum!$G10*Minimum!$F10</f>
        <v>7.76</v>
      </c>
    </row>
    <row r="11" spans="1:8" x14ac:dyDescent="0.3">
      <c r="A11" s="4" t="s">
        <v>45</v>
      </c>
      <c r="B11" s="5" t="s">
        <v>46</v>
      </c>
      <c r="C11" s="8" t="s">
        <v>47</v>
      </c>
      <c r="D11" s="5" t="s">
        <v>11</v>
      </c>
      <c r="E11" s="6" t="s">
        <v>48</v>
      </c>
      <c r="F11" s="5">
        <v>1</v>
      </c>
      <c r="G11" s="30">
        <v>2.44</v>
      </c>
      <c r="H11" s="7">
        <f>Minimum!$G11*Minimum!$F11</f>
        <v>2.44</v>
      </c>
    </row>
    <row r="12" spans="1:8" x14ac:dyDescent="0.3">
      <c r="A12" s="4" t="s">
        <v>49</v>
      </c>
      <c r="B12" s="5" t="s">
        <v>50</v>
      </c>
      <c r="C12" s="8" t="s">
        <v>51</v>
      </c>
      <c r="D12" s="5" t="s">
        <v>52</v>
      </c>
      <c r="E12" s="6" t="s">
        <v>53</v>
      </c>
      <c r="F12" s="5">
        <v>1</v>
      </c>
      <c r="G12" s="30">
        <v>42.9</v>
      </c>
      <c r="H12" s="7">
        <f>Minimum!$G12*Minimum!$F12</f>
        <v>42.9</v>
      </c>
    </row>
    <row r="13" spans="1:8" x14ac:dyDescent="0.3">
      <c r="A13" s="4" t="s">
        <v>54</v>
      </c>
      <c r="B13" s="5" t="s">
        <v>55</v>
      </c>
      <c r="C13" s="8" t="s">
        <v>56</v>
      </c>
      <c r="D13" s="5" t="s">
        <v>11</v>
      </c>
      <c r="E13" s="6" t="s">
        <v>57</v>
      </c>
      <c r="F13" s="5">
        <v>1</v>
      </c>
      <c r="G13" s="30">
        <v>100.01</v>
      </c>
      <c r="H13" s="7">
        <f>Minimum!$G13*Minimum!$F13</f>
        <v>100.01</v>
      </c>
    </row>
    <row r="14" spans="1:8" x14ac:dyDescent="0.3">
      <c r="A14" s="4" t="s">
        <v>58</v>
      </c>
      <c r="B14" s="5" t="s">
        <v>59</v>
      </c>
      <c r="C14" s="5"/>
      <c r="D14" s="5"/>
      <c r="E14" s="5"/>
      <c r="F14" s="5">
        <v>1</v>
      </c>
      <c r="G14" s="30">
        <v>70</v>
      </c>
      <c r="H14" s="7">
        <f>Minimum!$G14*Minimum!$F14</f>
        <v>70</v>
      </c>
    </row>
    <row r="15" spans="1:8" x14ac:dyDescent="0.3">
      <c r="A15" s="9" t="s">
        <v>60</v>
      </c>
      <c r="B15" s="10" t="s">
        <v>61</v>
      </c>
      <c r="C15" s="10"/>
      <c r="D15" s="10"/>
      <c r="E15" s="10"/>
      <c r="F15" s="10">
        <v>1</v>
      </c>
      <c r="G15" s="18">
        <v>5</v>
      </c>
      <c r="H15" s="11">
        <f>Minimum!$G15*Minimum!$F15</f>
        <v>5</v>
      </c>
    </row>
    <row r="16" spans="1:8" ht="15" thickBot="1" x14ac:dyDescent="0.35">
      <c r="A16" t="s">
        <v>62</v>
      </c>
      <c r="B16" t="s">
        <v>63</v>
      </c>
      <c r="F16">
        <v>1</v>
      </c>
      <c r="G16" s="31">
        <v>40</v>
      </c>
      <c r="H16" s="11">
        <f>Minimum!$G16*Minimum!$F16</f>
        <v>40</v>
      </c>
    </row>
    <row r="17" spans="1:8" x14ac:dyDescent="0.3">
      <c r="A17" s="12" t="s">
        <v>64</v>
      </c>
      <c r="B17" s="13" t="s">
        <v>65</v>
      </c>
      <c r="C17" s="12"/>
      <c r="D17" s="12"/>
      <c r="E17" s="12"/>
      <c r="F17" s="12"/>
      <c r="G17" s="12"/>
      <c r="H17" s="14" cm="1">
        <f t="array" ref="H17">SUM(H2:H16*0.2)</f>
        <v>63.680000000000007</v>
      </c>
    </row>
    <row r="18" spans="1:8" x14ac:dyDescent="0.3">
      <c r="A18" s="15" t="s">
        <v>66</v>
      </c>
      <c r="B18" s="15"/>
      <c r="C18" s="15"/>
      <c r="D18" s="15"/>
      <c r="E18" s="15"/>
      <c r="F18" s="15"/>
      <c r="G18" s="15"/>
      <c r="H18" s="16">
        <f>SUM($H$2:$H$17)</f>
        <v>382.08</v>
      </c>
    </row>
    <row r="19" spans="1:8" x14ac:dyDescent="0.3">
      <c r="A19" s="17" t="s">
        <v>67</v>
      </c>
      <c r="B19" s="10"/>
      <c r="C19" s="10"/>
      <c r="D19" s="10"/>
      <c r="E19" s="10"/>
      <c r="F19" s="10"/>
      <c r="G19" s="10"/>
      <c r="H19" s="18">
        <f>SUM(H2:H13,H15:H16)+(0.2*SUM(H15:H16,H2:H13))</f>
        <v>298.08</v>
      </c>
    </row>
    <row r="20" spans="1:8" ht="14.4" customHeight="1" x14ac:dyDescent="0.3"/>
    <row r="21" spans="1:8" ht="14.4" customHeight="1" x14ac:dyDescent="0.3">
      <c r="A21" s="32" t="s">
        <v>68</v>
      </c>
      <c r="B21" s="32"/>
      <c r="C21" s="32"/>
      <c r="D21" s="32"/>
      <c r="E21" s="32"/>
      <c r="F21" s="32"/>
      <c r="G21" s="32"/>
      <c r="H21" s="32"/>
    </row>
    <row r="22" spans="1:8" x14ac:dyDescent="0.3">
      <c r="A22" s="32"/>
      <c r="B22" s="32"/>
      <c r="C22" s="32"/>
      <c r="D22" s="32"/>
      <c r="E22" s="32"/>
      <c r="F22" s="32"/>
      <c r="G22" s="32"/>
      <c r="H22" s="32"/>
    </row>
    <row r="23" spans="1:8" x14ac:dyDescent="0.3">
      <c r="A23" s="33" t="s">
        <v>69</v>
      </c>
      <c r="B23" s="33"/>
    </row>
  </sheetData>
  <mergeCells count="2">
    <mergeCell ref="A21:H22"/>
    <mergeCell ref="A23:B23"/>
  </mergeCells>
  <hyperlinks>
    <hyperlink ref="E2" r:id="rId1" xr:uid="{32046390-9D20-4E95-936E-007B1D9C044F}"/>
    <hyperlink ref="E3" r:id="rId2" xr:uid="{375598A1-5243-4DD2-926C-947D236448FD}"/>
    <hyperlink ref="E7" r:id="rId3" xr:uid="{187D097F-F25A-46E4-AFDA-2E779AC7D498}"/>
    <hyperlink ref="E5" r:id="rId4" xr:uid="{1B2015B6-EA3B-4B51-B7D4-00EBCEC3E768}"/>
    <hyperlink ref="E6" r:id="rId5" display="https://www.digikey.com/en/products/detail/infineon-technologies/IRF200B211/5250541" xr:uid="{5A2A8DC8-63FC-443D-AC33-844E311F9255}"/>
    <hyperlink ref="E8" r:id="rId6" xr:uid="{ACE44ECD-0ED2-4AF1-890D-586F03724B26}"/>
    <hyperlink ref="E9" r:id="rId7" xr:uid="{58DF0253-EC2E-4881-9878-9B007F638B30}"/>
    <hyperlink ref="E10" r:id="rId8" xr:uid="{EEF32F00-A16D-4CCC-A3BA-767973F49E38}"/>
    <hyperlink ref="E11" r:id="rId9" xr:uid="{8D15455B-AA7A-47C6-9E90-212B41F4A8A0}"/>
    <hyperlink ref="E12" r:id="rId10" location="order-start-development" xr:uid="{B3A6C5F1-4DED-4D01-A760-60C875334C73}"/>
    <hyperlink ref="E13" r:id="rId11" xr:uid="{EDD8EE77-0F22-435D-8F9B-0EB0F5B6557B}"/>
  </hyperlinks>
  <pageMargins left="0.7" right="0.7" top="0.75" bottom="0.75" header="0.3" footer="0.3"/>
  <pageSetup orientation="portrait" r:id="rId12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C132-7A10-4C14-8263-4317770C79E9}">
  <dimension ref="A1:I19"/>
  <sheetViews>
    <sheetView zoomScale="70" zoomScaleNormal="70" workbookViewId="0">
      <selection activeCell="I19" sqref="I19"/>
    </sheetView>
  </sheetViews>
  <sheetFormatPr defaultRowHeight="14.4" x14ac:dyDescent="0.3"/>
  <cols>
    <col min="1" max="1" width="21" bestFit="1" customWidth="1"/>
    <col min="2" max="2" width="66.5546875" bestFit="1" customWidth="1"/>
    <col min="3" max="4" width="19.33203125" bestFit="1" customWidth="1"/>
    <col min="5" max="5" width="106.6640625" customWidth="1"/>
    <col min="6" max="6" width="22.88671875" bestFit="1" customWidth="1"/>
    <col min="7" max="7" width="17.6640625" bestFit="1" customWidth="1"/>
    <col min="8" max="8" width="12.21875" bestFit="1" customWidth="1"/>
    <col min="9" max="9" width="11.88671875" bestFit="1" customWidth="1"/>
  </cols>
  <sheetData>
    <row r="1" spans="1:9" x14ac:dyDescent="0.3">
      <c r="A1" s="29" t="s">
        <v>77</v>
      </c>
      <c r="B1" s="28" t="s">
        <v>76</v>
      </c>
      <c r="C1" s="28" t="s">
        <v>75</v>
      </c>
      <c r="D1" s="28" t="s">
        <v>74</v>
      </c>
      <c r="E1" s="28" t="s">
        <v>73</v>
      </c>
      <c r="F1" s="28" t="s">
        <v>72</v>
      </c>
      <c r="G1" s="28" t="s">
        <v>71</v>
      </c>
      <c r="H1" s="28" t="s">
        <v>70</v>
      </c>
      <c r="I1" s="27" t="s">
        <v>7</v>
      </c>
    </row>
    <row r="2" spans="1:9" x14ac:dyDescent="0.3">
      <c r="A2" s="4" t="s">
        <v>8</v>
      </c>
      <c r="B2" s="5" t="s">
        <v>9</v>
      </c>
      <c r="C2" s="5" t="s">
        <v>10</v>
      </c>
      <c r="D2" s="5" t="s">
        <v>11</v>
      </c>
      <c r="E2" s="6" t="s">
        <v>12</v>
      </c>
      <c r="F2" s="5">
        <v>4</v>
      </c>
      <c r="G2" s="6">
        <v>10</v>
      </c>
      <c r="H2" s="30">
        <v>3.61</v>
      </c>
      <c r="I2" s="7">
        <f>Suggested!$H2*Suggested!$G2</f>
        <v>36.1</v>
      </c>
    </row>
    <row r="3" spans="1:9" x14ac:dyDescent="0.3">
      <c r="A3" s="4" t="s">
        <v>13</v>
      </c>
      <c r="B3" s="5" t="s">
        <v>14</v>
      </c>
      <c r="C3" s="5" t="s">
        <v>15</v>
      </c>
      <c r="D3" s="5" t="s">
        <v>16</v>
      </c>
      <c r="E3" s="6" t="s">
        <v>17</v>
      </c>
      <c r="F3" s="5">
        <v>1</v>
      </c>
      <c r="G3" s="6">
        <v>2</v>
      </c>
      <c r="H3" s="30">
        <v>20.09</v>
      </c>
      <c r="I3" s="7">
        <f>Suggested!$H3*Suggested!$G3</f>
        <v>40.18</v>
      </c>
    </row>
    <row r="4" spans="1:9" x14ac:dyDescent="0.3">
      <c r="A4" s="4" t="s">
        <v>18</v>
      </c>
      <c r="B4" s="5" t="s">
        <v>19</v>
      </c>
      <c r="C4" s="5" t="s">
        <v>20</v>
      </c>
      <c r="D4" s="5"/>
      <c r="E4" s="5"/>
      <c r="F4" s="5">
        <v>1</v>
      </c>
      <c r="G4" s="5"/>
      <c r="H4" s="30"/>
      <c r="I4" s="7">
        <f>Suggested!$H4*Suggested!$G4</f>
        <v>0</v>
      </c>
    </row>
    <row r="5" spans="1:9" x14ac:dyDescent="0.3">
      <c r="A5" s="4" t="s">
        <v>21</v>
      </c>
      <c r="B5" s="5" t="s">
        <v>22</v>
      </c>
      <c r="C5" s="5" t="s">
        <v>23</v>
      </c>
      <c r="D5" s="5" t="s">
        <v>11</v>
      </c>
      <c r="E5" s="6" t="s">
        <v>24</v>
      </c>
      <c r="F5" s="5">
        <v>1</v>
      </c>
      <c r="G5" s="6">
        <v>10</v>
      </c>
      <c r="H5" s="30">
        <v>0.25</v>
      </c>
      <c r="I5" s="7">
        <f>Suggested!$H5*Suggested!$G5</f>
        <v>2.5</v>
      </c>
    </row>
    <row r="6" spans="1:9" x14ac:dyDescent="0.3">
      <c r="A6" s="4" t="s">
        <v>25</v>
      </c>
      <c r="B6" s="5" t="s">
        <v>26</v>
      </c>
      <c r="C6" s="5" t="s">
        <v>27</v>
      </c>
      <c r="D6" s="5" t="s">
        <v>11</v>
      </c>
      <c r="E6" s="6" t="s">
        <v>28</v>
      </c>
      <c r="F6" s="5">
        <v>1</v>
      </c>
      <c r="G6" s="6">
        <v>3</v>
      </c>
      <c r="H6" s="30">
        <v>2.23</v>
      </c>
      <c r="I6" s="7">
        <f>Suggested!$H6*Suggested!$G6</f>
        <v>6.6899999999999995</v>
      </c>
    </row>
    <row r="7" spans="1:9" x14ac:dyDescent="0.3">
      <c r="A7" s="4" t="s">
        <v>29</v>
      </c>
      <c r="B7" s="5" t="s">
        <v>30</v>
      </c>
      <c r="C7" s="5" t="s">
        <v>31</v>
      </c>
      <c r="D7" s="5" t="s">
        <v>11</v>
      </c>
      <c r="E7" s="6" t="s">
        <v>32</v>
      </c>
      <c r="F7" s="5">
        <v>1</v>
      </c>
      <c r="G7" s="6">
        <v>3</v>
      </c>
      <c r="H7" s="30">
        <v>1.29</v>
      </c>
      <c r="I7" s="7">
        <f>Suggested!$H7*Suggested!$G7</f>
        <v>3.87</v>
      </c>
    </row>
    <row r="8" spans="1:9" x14ac:dyDescent="0.3">
      <c r="A8" s="4" t="s">
        <v>33</v>
      </c>
      <c r="B8" s="5" t="s">
        <v>34</v>
      </c>
      <c r="C8" s="5" t="s">
        <v>35</v>
      </c>
      <c r="D8" s="5" t="s">
        <v>11</v>
      </c>
      <c r="E8" s="6" t="s">
        <v>36</v>
      </c>
      <c r="F8" s="5">
        <v>1</v>
      </c>
      <c r="G8" s="6">
        <v>2</v>
      </c>
      <c r="H8" s="30">
        <v>4.55</v>
      </c>
      <c r="I8" s="7">
        <f>Suggested!$H8*Suggested!$G8</f>
        <v>9.1</v>
      </c>
    </row>
    <row r="9" spans="1:9" x14ac:dyDescent="0.3">
      <c r="A9" s="4" t="s">
        <v>37</v>
      </c>
      <c r="B9" s="5" t="s">
        <v>38</v>
      </c>
      <c r="C9" s="5" t="s">
        <v>39</v>
      </c>
      <c r="D9" s="5" t="s">
        <v>11</v>
      </c>
      <c r="E9" s="6" t="s">
        <v>40</v>
      </c>
      <c r="F9" s="5">
        <v>1</v>
      </c>
      <c r="G9" s="6">
        <v>2</v>
      </c>
      <c r="H9" s="30">
        <v>0.72</v>
      </c>
      <c r="I9" s="7">
        <f>Suggested!$H9*Suggested!$G9</f>
        <v>1.44</v>
      </c>
    </row>
    <row r="10" spans="1:9" x14ac:dyDescent="0.3">
      <c r="A10" s="4" t="s">
        <v>41</v>
      </c>
      <c r="B10" s="5" t="s">
        <v>42</v>
      </c>
      <c r="C10" s="5" t="s">
        <v>43</v>
      </c>
      <c r="D10" s="5" t="s">
        <v>11</v>
      </c>
      <c r="E10" s="6" t="s">
        <v>44</v>
      </c>
      <c r="F10" s="5">
        <v>4</v>
      </c>
      <c r="G10" s="6">
        <v>5</v>
      </c>
      <c r="H10" s="30">
        <v>1.94</v>
      </c>
      <c r="I10" s="7">
        <f>Suggested!$H10*Suggested!$G10</f>
        <v>9.6999999999999993</v>
      </c>
    </row>
    <row r="11" spans="1:9" x14ac:dyDescent="0.3">
      <c r="A11" s="4" t="s">
        <v>45</v>
      </c>
      <c r="B11" s="5" t="s">
        <v>46</v>
      </c>
      <c r="C11" s="8" t="s">
        <v>47</v>
      </c>
      <c r="D11" s="5" t="s">
        <v>11</v>
      </c>
      <c r="E11" s="6" t="s">
        <v>48</v>
      </c>
      <c r="F11" s="5">
        <v>1</v>
      </c>
      <c r="G11" s="6">
        <v>2</v>
      </c>
      <c r="H11" s="30">
        <v>2.44</v>
      </c>
      <c r="I11" s="7">
        <f>Suggested!$H11*Suggested!$G11</f>
        <v>4.88</v>
      </c>
    </row>
    <row r="12" spans="1:9" x14ac:dyDescent="0.3">
      <c r="A12" s="4" t="s">
        <v>49</v>
      </c>
      <c r="B12" s="5" t="s">
        <v>50</v>
      </c>
      <c r="C12" s="8" t="s">
        <v>51</v>
      </c>
      <c r="D12" s="5" t="s">
        <v>52</v>
      </c>
      <c r="E12" s="6" t="s">
        <v>53</v>
      </c>
      <c r="F12" s="5">
        <v>1</v>
      </c>
      <c r="G12" s="6">
        <v>1</v>
      </c>
      <c r="H12" s="30">
        <v>42.9</v>
      </c>
      <c r="I12" s="7">
        <f>F12*H12</f>
        <v>42.9</v>
      </c>
    </row>
    <row r="13" spans="1:9" x14ac:dyDescent="0.3">
      <c r="A13" s="4" t="s">
        <v>54</v>
      </c>
      <c r="B13" s="5" t="s">
        <v>55</v>
      </c>
      <c r="C13" s="8" t="s">
        <v>56</v>
      </c>
      <c r="D13" s="5" t="s">
        <v>11</v>
      </c>
      <c r="E13" s="6" t="s">
        <v>57</v>
      </c>
      <c r="F13" s="5">
        <v>1</v>
      </c>
      <c r="G13" s="6">
        <v>1</v>
      </c>
      <c r="H13" s="30">
        <v>100.01</v>
      </c>
      <c r="I13" s="7">
        <f>F13*H13</f>
        <v>100.01</v>
      </c>
    </row>
    <row r="14" spans="1:9" x14ac:dyDescent="0.3">
      <c r="A14" s="4" t="s">
        <v>58</v>
      </c>
      <c r="B14" s="5" t="s">
        <v>59</v>
      </c>
      <c r="C14" s="5"/>
      <c r="D14" s="5"/>
      <c r="E14" s="5"/>
      <c r="F14" s="5">
        <v>1</v>
      </c>
      <c r="G14" s="5">
        <v>1</v>
      </c>
      <c r="H14" s="30">
        <v>70</v>
      </c>
      <c r="I14" s="7">
        <f>Suggested!$H14*Suggested!$G14</f>
        <v>70</v>
      </c>
    </row>
    <row r="15" spans="1:9" x14ac:dyDescent="0.3">
      <c r="A15" s="4" t="s">
        <v>60</v>
      </c>
      <c r="B15" s="5" t="s">
        <v>61</v>
      </c>
      <c r="C15" s="5"/>
      <c r="D15" s="5"/>
      <c r="E15" s="5"/>
      <c r="F15" s="5">
        <v>1</v>
      </c>
      <c r="G15" s="5">
        <v>1</v>
      </c>
      <c r="H15" s="30">
        <v>5</v>
      </c>
      <c r="I15" s="7">
        <f>F15*H15</f>
        <v>5</v>
      </c>
    </row>
    <row r="16" spans="1:9" ht="15" thickBot="1" x14ac:dyDescent="0.35">
      <c r="A16" s="9" t="s">
        <v>62</v>
      </c>
      <c r="B16" s="10" t="s">
        <v>63</v>
      </c>
      <c r="C16" s="10"/>
      <c r="D16" s="10"/>
      <c r="E16" s="10"/>
      <c r="F16" s="10">
        <v>1</v>
      </c>
      <c r="G16" s="10">
        <v>1</v>
      </c>
      <c r="H16" s="18">
        <v>40</v>
      </c>
      <c r="I16" s="11">
        <v>40</v>
      </c>
    </row>
    <row r="17" spans="1:9" x14ac:dyDescent="0.3">
      <c r="A17" s="26" t="s">
        <v>64</v>
      </c>
      <c r="B17" s="13" t="s">
        <v>65</v>
      </c>
      <c r="C17" s="5"/>
      <c r="D17" s="12"/>
      <c r="E17" s="12"/>
      <c r="F17" s="12"/>
      <c r="G17" s="12"/>
      <c r="H17" s="12"/>
      <c r="I17" s="25" cm="1">
        <f t="array" ref="I17">SUM(I2:I16*0.2)</f>
        <v>74.474000000000004</v>
      </c>
    </row>
    <row r="18" spans="1:9" x14ac:dyDescent="0.3">
      <c r="A18" s="24" t="s">
        <v>66</v>
      </c>
      <c r="B18" s="23"/>
      <c r="C18" s="15"/>
      <c r="D18" s="15"/>
      <c r="E18" s="15"/>
      <c r="F18" s="15"/>
      <c r="G18" s="15"/>
      <c r="H18" s="15"/>
      <c r="I18" s="22">
        <f>SUM($I$2:$I$17)</f>
        <v>446.84399999999999</v>
      </c>
    </row>
    <row r="19" spans="1:9" ht="15" thickBot="1" x14ac:dyDescent="0.35">
      <c r="A19" s="21" t="s">
        <v>67</v>
      </c>
      <c r="B19" s="20"/>
      <c r="C19" s="20"/>
      <c r="D19" s="20"/>
      <c r="E19" s="20"/>
      <c r="F19" s="20"/>
      <c r="G19" s="20"/>
      <c r="H19" s="20"/>
      <c r="I19" s="19">
        <f>SUM(I2:I13,I15:I16)+(0.2*SUM(I15:I16,I2:I13))</f>
        <v>362.84399999999999</v>
      </c>
    </row>
  </sheetData>
  <hyperlinks>
    <hyperlink ref="E2" r:id="rId1" xr:uid="{69305AF7-F8DE-4433-BD6C-861CA4A01ECA}"/>
    <hyperlink ref="E3" r:id="rId2" xr:uid="{DC79CEC3-02DF-48A4-9BB7-C8EEDF66D396}"/>
    <hyperlink ref="E7" r:id="rId3" xr:uid="{3BB9B759-0310-4D05-A569-EF403CB5FEEF}"/>
    <hyperlink ref="E5" r:id="rId4" xr:uid="{CF6E5197-90E8-431E-9134-6C716007D17F}"/>
    <hyperlink ref="E6" r:id="rId5" display="https://www.digikey.com/en/products/detail/infineon-technologies/IRF200B211/5250541" xr:uid="{CD51087A-97E7-4674-9BF9-C2942C4BFDCC}"/>
    <hyperlink ref="E8" r:id="rId6" xr:uid="{806D16EB-DB48-4B06-946E-C69FC92FE246}"/>
    <hyperlink ref="E9" r:id="rId7" xr:uid="{48CBE999-4D08-4E67-9756-CCA2C13BFFBB}"/>
    <hyperlink ref="E10" r:id="rId8" xr:uid="{F98AB2F7-1D9F-43D7-9482-17FD10D28B38}"/>
    <hyperlink ref="E11" r:id="rId9" xr:uid="{28B42081-5F55-478D-B503-37A73E266D05}"/>
    <hyperlink ref="E12" r:id="rId10" location="order-start-development" xr:uid="{0C52CC20-17C8-4659-9100-1808F523DF11}"/>
    <hyperlink ref="E13" r:id="rId11" xr:uid="{E20AC6BD-9120-457A-8435-2F862E7A426F}"/>
  </hyperlinks>
  <pageMargins left="0.7" right="0.7" top="0.75" bottom="0.75" header="0.3" footer="0.3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Minimum</vt:lpstr>
      <vt:lpstr>Suggested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Sgroi, Zano</dc:creator>
  <cp:lastModifiedBy>Sgroi, Zano</cp:lastModifiedBy>
  <dcterms:created xsi:type="dcterms:W3CDTF">2026-09-24T16:44:29Z</dcterms:created>
  <dcterms:modified xsi:type="dcterms:W3CDTF">2026-10-13T18:28:08Z</dcterms:modified>
</cp:coreProperties>
</file>