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azano\Acedemic\Research\Battery Charger Project\"/>
    </mc:Choice>
  </mc:AlternateContent>
  <xr:revisionPtr revIDLastSave="0" documentId="13_ncr:1_{B08F042A-4C77-4715-B810-8F0C39F664B5}" xr6:coauthVersionLast="47" xr6:coauthVersionMax="47" xr10:uidLastSave="{00000000-0000-0000-0000-000000000000}"/>
  <bookViews>
    <workbookView xWindow="-105" yWindow="0" windowWidth="14610" windowHeight="15585" xr2:uid="{8EA801AC-1218-4C2A-8BFC-BC5B39F04A2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3" i="1"/>
  <c r="G4" i="1"/>
  <c r="G5" i="1"/>
  <c r="G6" i="1"/>
  <c r="G7" i="1"/>
  <c r="G8" i="1"/>
  <c r="G2" i="1"/>
  <c r="G13" i="1" l="1"/>
</calcChain>
</file>

<file path=xl/sharedStrings.xml><?xml version="1.0" encoding="utf-8"?>
<sst xmlns="http://schemas.openxmlformats.org/spreadsheetml/2006/main" count="52" uniqueCount="42">
  <si>
    <t>unit price</t>
  </si>
  <si>
    <t>vendor</t>
  </si>
  <si>
    <t>Item description</t>
  </si>
  <si>
    <t>6.8 µF ±10% 50V Ceramic Capacitor X5R 1206</t>
  </si>
  <si>
    <t>item use</t>
  </si>
  <si>
    <t>Bridge Rectifier Three Phase Standard 400 V Chassis Mount DB</t>
  </si>
  <si>
    <t>FIXED IND 6.8UH 47.5A 1.2 MOHM</t>
  </si>
  <si>
    <t>product number</t>
  </si>
  <si>
    <t>C3216X5R1H685K160AB</t>
  </si>
  <si>
    <t>DB35-04</t>
  </si>
  <si>
    <t>B82559A5682A033</t>
  </si>
  <si>
    <t>Buck converter output capacitor</t>
  </si>
  <si>
    <t>Three phase rectifier</t>
  </si>
  <si>
    <t>Buck converter inductor</t>
  </si>
  <si>
    <t>Digikey</t>
  </si>
  <si>
    <t>quantity</t>
  </si>
  <si>
    <t>DIODE SCHOTTKY 250V 40A TO2202</t>
  </si>
  <si>
    <t>MBR40250G</t>
  </si>
  <si>
    <t>Buck converter NMOS</t>
  </si>
  <si>
    <t>STY60NK30Z</t>
  </si>
  <si>
    <t>Buck converter flyback diode</t>
  </si>
  <si>
    <t>MOSFET N-CH 300V 60A MAX247</t>
  </si>
  <si>
    <t>RES 1.8K OHM 0.1% 1/4W AXIAL</t>
  </si>
  <si>
    <t>MFP-25BRD52-1K8</t>
  </si>
  <si>
    <t>MFP-25BRD52-15K</t>
  </si>
  <si>
    <t>Voltage divider R2 (1.8k)</t>
  </si>
  <si>
    <t>Voltage divider R1 (15k)</t>
  </si>
  <si>
    <t>RES 15K OHM 0.1% 1/4W AXIAL</t>
  </si>
  <si>
    <t>Total cost</t>
  </si>
  <si>
    <t>Complete cost</t>
  </si>
  <si>
    <t>Current sense IC</t>
  </si>
  <si>
    <t xml:space="preserve"> Precision 1MHz Hall-Effect Current Sensor</t>
  </si>
  <si>
    <t>TMCS1133C3A</t>
  </si>
  <si>
    <t>TI</t>
  </si>
  <si>
    <t>EVAL BOARD FOR STGAP2HDM</t>
  </si>
  <si>
    <t>EVALSTGAP2HDM</t>
  </si>
  <si>
    <t>MCU</t>
  </si>
  <si>
    <t>F280049C evaluation module</t>
  </si>
  <si>
    <t>TMDSCNCD280049C</t>
  </si>
  <si>
    <t>CAP CER 1UF 200V X7R 1812</t>
  </si>
  <si>
    <t>18122C105JAT2A</t>
  </si>
  <si>
    <t>Rectifier smoothing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</si>
</sst>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/>
  </cellXfs>
  <cellStyles count="1">
    <cellStyle name="Normal" xfId="0" builtinId="0"/>
  </cellStyles>
  <dxfs count="3">
    <dxf>
      <numFmt numFmtId="164" formatCode="&quot;$&quot;#,##0.00"/>
    </dxf>
    <dxf>
      <numFmt numFmtId="164" formatCode="&quot;$&quot;#,##0.0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532D3F-7A33-4DD0-8102-BCBD3DDF7673}" name="Table2" displayName="Table2" ref="A1:G12" totalsRowShown="0">
  <autoFilter ref="A1:G12" xr:uid="{D2532D3F-7A33-4DD0-8102-BCBD3DDF7673}"/>
  <tableColumns count="7">
    <tableColumn id="1" xr3:uid="{3E9EF38B-4F6A-415C-9FF5-4DF42359DB88}" name="item use"/>
    <tableColumn id="2" xr3:uid="{D499B870-FACA-41F9-9EA4-68BA2E9C968F}" name="Item description"/>
    <tableColumn id="3" xr3:uid="{3FFB5064-6B19-4D79-9586-8E5F01244D5E}" name="product number" dataDxfId="2"/>
    <tableColumn id="4" xr3:uid="{DFE9349B-725A-47F4-ADB2-B7A5C807AD28}" name="vendor"/>
    <tableColumn id="5" xr3:uid="{5D332A81-EF5C-4E50-929D-6C49DBA4D783}" name="quantity"/>
    <tableColumn id="6" xr3:uid="{A0ED41C3-554F-4010-9756-C03DEBBC7BA2}" name="unit price" dataDxfId="1"/>
    <tableColumn id="7" xr3:uid="{8EF20C81-D056-4A5F-8A55-CED47782E0B6}" name="Total cost" dataDxfId="0">
      <calculatedColumnFormula>E2*F2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43F6-C991-4FED-A486-EADAA5F16055}">
  <dimension ref="A1:G13"/>
  <sheetViews>
    <sheetView tabSelected="1" zoomScale="70" zoomScaleNormal="70" workbookViewId="0">
      <selection activeCell="B16" sqref="B16"/>
    </sheetView>
  </sheetViews>
  <sheetFormatPr defaultRowHeight="15" x14ac:dyDescent="0.25"/>
  <cols>
    <col min="1" max="1" width="32.42578125" bestFit="1" customWidth="1"/>
    <col min="2" max="2" width="62.5703125" customWidth="1"/>
    <col min="3" max="3" width="29.42578125" bestFit="1" customWidth="1"/>
    <col min="4" max="4" width="11.28515625" customWidth="1"/>
    <col min="5" max="5" width="12.7109375" customWidth="1"/>
    <col min="6" max="6" width="14.140625" customWidth="1"/>
    <col min="7" max="7" width="14.7109375" customWidth="1"/>
  </cols>
  <sheetData>
    <row r="1" spans="1:7" x14ac:dyDescent="0.25">
      <c r="A1" t="s">
        <v>4</v>
      </c>
      <c r="B1" t="s">
        <v>2</v>
      </c>
      <c r="C1" t="s">
        <v>7</v>
      </c>
      <c r="D1" t="s">
        <v>1</v>
      </c>
      <c r="E1" t="s">
        <v>15</v>
      </c>
      <c r="F1" t="s">
        <v>0</v>
      </c>
      <c r="G1" t="s">
        <v>28</v>
      </c>
    </row>
    <row r="2" spans="1:7" x14ac:dyDescent="0.25">
      <c r="A2" t="s">
        <v>11</v>
      </c>
      <c r="B2" t="s">
        <v>3</v>
      </c>
      <c r="C2" t="s">
        <v>8</v>
      </c>
      <c r="D2" t="s">
        <v>14</v>
      </c>
      <c r="E2">
        <v>1</v>
      </c>
      <c r="F2" s="6">
        <v>1.01</v>
      </c>
      <c r="G2" s="6">
        <f>E2*F2</f>
        <v>1.01</v>
      </c>
    </row>
    <row r="3" spans="1:7" x14ac:dyDescent="0.25">
      <c r="A3" t="s">
        <v>12</v>
      </c>
      <c r="B3" t="s">
        <v>5</v>
      </c>
      <c r="C3" s="1" t="s">
        <v>9</v>
      </c>
      <c r="D3" t="s">
        <v>14</v>
      </c>
      <c r="E3">
        <v>1</v>
      </c>
      <c r="F3" s="6">
        <v>6.22</v>
      </c>
      <c r="G3" s="6">
        <f t="shared" ref="G3:G8" si="0">E3*F3</f>
        <v>6.22</v>
      </c>
    </row>
    <row r="4" spans="1:7" x14ac:dyDescent="0.25">
      <c r="A4" t="s">
        <v>13</v>
      </c>
      <c r="B4" t="s">
        <v>6</v>
      </c>
      <c r="C4" s="1" t="s">
        <v>10</v>
      </c>
      <c r="D4" t="s">
        <v>14</v>
      </c>
      <c r="E4">
        <v>1</v>
      </c>
      <c r="F4" s="6">
        <v>4.51</v>
      </c>
      <c r="G4" s="6">
        <f t="shared" si="0"/>
        <v>4.51</v>
      </c>
    </row>
    <row r="5" spans="1:7" x14ac:dyDescent="0.25">
      <c r="A5" t="s">
        <v>20</v>
      </c>
      <c r="B5" t="s">
        <v>16</v>
      </c>
      <c r="C5" s="2" t="s">
        <v>17</v>
      </c>
      <c r="D5" t="s">
        <v>14</v>
      </c>
      <c r="E5">
        <v>1</v>
      </c>
      <c r="F5" s="6">
        <v>3.28</v>
      </c>
      <c r="G5" s="6">
        <f t="shared" si="0"/>
        <v>3.28</v>
      </c>
    </row>
    <row r="6" spans="1:7" x14ac:dyDescent="0.25">
      <c r="A6" t="s">
        <v>18</v>
      </c>
      <c r="B6" t="s">
        <v>21</v>
      </c>
      <c r="C6" s="2" t="s">
        <v>19</v>
      </c>
      <c r="D6" t="s">
        <v>14</v>
      </c>
      <c r="E6">
        <v>1</v>
      </c>
      <c r="F6" s="6">
        <v>14.28</v>
      </c>
      <c r="G6" s="6">
        <f t="shared" si="0"/>
        <v>14.28</v>
      </c>
    </row>
    <row r="7" spans="1:7" x14ac:dyDescent="0.25">
      <c r="A7" t="s">
        <v>25</v>
      </c>
      <c r="B7" t="s">
        <v>22</v>
      </c>
      <c r="C7" s="2" t="s">
        <v>23</v>
      </c>
      <c r="D7" t="s">
        <v>14</v>
      </c>
      <c r="E7">
        <v>1</v>
      </c>
      <c r="F7" s="6">
        <v>0.63</v>
      </c>
      <c r="G7" s="6">
        <f t="shared" si="0"/>
        <v>0.63</v>
      </c>
    </row>
    <row r="8" spans="1:7" x14ac:dyDescent="0.25">
      <c r="A8" t="s">
        <v>26</v>
      </c>
      <c r="B8" t="s">
        <v>27</v>
      </c>
      <c r="C8" s="2" t="s">
        <v>24</v>
      </c>
      <c r="D8" t="s">
        <v>14</v>
      </c>
      <c r="E8">
        <v>1</v>
      </c>
      <c r="F8" s="6">
        <v>0.63</v>
      </c>
      <c r="G8" s="6">
        <f t="shared" si="0"/>
        <v>0.63</v>
      </c>
    </row>
    <row r="9" spans="1:7" x14ac:dyDescent="0.25">
      <c r="A9" t="s">
        <v>30</v>
      </c>
      <c r="B9" t="s">
        <v>31</v>
      </c>
      <c r="C9" s="2" t="s">
        <v>32</v>
      </c>
      <c r="D9" t="s">
        <v>33</v>
      </c>
      <c r="E9">
        <v>1</v>
      </c>
      <c r="F9" s="6">
        <v>1.9550000000000001</v>
      </c>
      <c r="G9" s="6">
        <f>E9*F9</f>
        <v>1.9550000000000001</v>
      </c>
    </row>
    <row r="10" spans="1:7" x14ac:dyDescent="0.25">
      <c r="A10" t="s">
        <v>34</v>
      </c>
      <c r="B10" t="s">
        <v>34</v>
      </c>
      <c r="C10" s="2" t="s">
        <v>35</v>
      </c>
      <c r="D10" t="s">
        <v>14</v>
      </c>
      <c r="E10">
        <v>1</v>
      </c>
      <c r="F10" s="6">
        <v>93.43</v>
      </c>
      <c r="G10" s="6">
        <f>E10*F10</f>
        <v>93.43</v>
      </c>
    </row>
    <row r="11" spans="1:7" x14ac:dyDescent="0.25">
      <c r="A11" t="s">
        <v>36</v>
      </c>
      <c r="B11" t="s">
        <v>37</v>
      </c>
      <c r="C11" s="2" t="s">
        <v>38</v>
      </c>
      <c r="D11" t="s">
        <v>33</v>
      </c>
      <c r="E11">
        <v>1</v>
      </c>
      <c r="F11" s="6">
        <v>99</v>
      </c>
      <c r="G11" s="6">
        <f>E11*F11</f>
        <v>99</v>
      </c>
    </row>
    <row r="12" spans="1:7" ht="15.75" thickBot="1" x14ac:dyDescent="0.3">
      <c r="A12" t="s">
        <v>41</v>
      </c>
      <c r="B12" t="s">
        <v>39</v>
      </c>
      <c r="C12" s="2" t="s">
        <v>40</v>
      </c>
      <c r="D12" t="s">
        <v>14</v>
      </c>
      <c r="E12">
        <v>1</v>
      </c>
      <c r="F12" s="6">
        <v>1.28</v>
      </c>
      <c r="G12" s="6">
        <f>E12*F12</f>
        <v>1.28</v>
      </c>
    </row>
    <row r="13" spans="1:7" ht="15.75" thickBot="1" x14ac:dyDescent="0.3">
      <c r="B13" s="3"/>
      <c r="C13" s="3"/>
      <c r="D13" s="3"/>
      <c r="E13" s="4" t="s">
        <v>29</v>
      </c>
      <c r="F13" s="5"/>
      <c r="G13" s="7">
        <f>SUM(G2:G12)</f>
        <v>226.22499999999999</v>
      </c>
    </row>
  </sheetData>
  <mergeCells count="1">
    <mergeCell ref="E13:F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Sgroi, Zano</dc:creator>
  <cp:lastModifiedBy>Sgroi, Zano</cp:lastModifiedBy>
  <dcterms:created xsi:type="dcterms:W3CDTF">2026-06-09T02:45:35Z</dcterms:created>
  <dcterms:modified xsi:type="dcterms:W3CDTF">2026-06-12T05:10:26Z</dcterms:modified>
</cp:coreProperties>
</file>