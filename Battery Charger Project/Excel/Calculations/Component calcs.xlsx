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CEE24CCD-128E-4958-A710-DEE6E1564BA6}" xr6:coauthVersionLast="47" xr6:coauthVersionMax="47" xr10:uidLastSave="{00000000-0000-0000-0000-000000000000}"/>
  <bookViews>
    <workbookView xWindow="-96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6" i="1" l="1"/>
  <c r="F26" i="2"/>
  <c r="J2" i="2"/>
  <c r="J2" i="1"/>
  <c r="B17" i="2"/>
  <c r="F17" i="2" s="1"/>
  <c r="F19" i="2" l="1"/>
  <c r="F22" i="2" s="1"/>
  <c r="B4" i="1"/>
  <c r="F5" i="1"/>
  <c r="J3" i="1" s="1"/>
  <c r="F15" i="1" s="1"/>
  <c r="B16" i="2"/>
  <c r="F5" i="2"/>
  <c r="B4" i="2"/>
  <c r="B17" i="1"/>
  <c r="F17" i="1" s="1"/>
  <c r="B16" i="1"/>
  <c r="F16" i="1" s="1"/>
  <c r="J3" i="2" l="1"/>
  <c r="F15" i="2" s="1"/>
  <c r="F16" i="2"/>
  <c r="B20" i="2"/>
  <c r="N2" i="1"/>
  <c r="F19" i="1"/>
  <c r="F22" i="1" s="1"/>
  <c r="F14" i="2"/>
  <c r="B20" i="1"/>
  <c r="F18" i="1"/>
  <c r="F21" i="1" s="1"/>
  <c r="F2" i="1"/>
  <c r="B18" i="2"/>
  <c r="J4" i="2" s="1"/>
  <c r="B21" i="2"/>
  <c r="B19" i="2"/>
  <c r="J5" i="2" s="1"/>
  <c r="B18" i="1"/>
  <c r="J4" i="1" s="1"/>
  <c r="B19" i="1"/>
  <c r="J5" i="1" s="1"/>
  <c r="B21" i="1"/>
  <c r="F18" i="2" l="1"/>
  <c r="F21" i="2" s="1"/>
  <c r="F14" i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F8" i="1" s="1"/>
  <c r="N2" i="2" l="1"/>
  <c r="N3" i="1"/>
</calcChain>
</file>

<file path=xl/sharedStrings.xml><?xml version="1.0" encoding="utf-8"?>
<sst xmlns="http://schemas.openxmlformats.org/spreadsheetml/2006/main" count="174" uniqueCount="64">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</sst>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zoomScale="85" zoomScaleNormal="85" workbookViewId="0">
      <selection activeCell="I21" sqref="I21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21875" customWidth="1"/>
    <col min="17" max="17" width="13" bestFit="1" customWidth="1"/>
  </cols>
  <sheetData>
    <row r="1" spans="1:18" ht="15" thickBot="1" x14ac:dyDescent="0.35">
      <c r="A1" s="29" t="s">
        <v>17</v>
      </c>
      <c r="B1" s="30"/>
      <c r="C1" s="31"/>
      <c r="E1" s="25" t="s">
        <v>31</v>
      </c>
      <c r="F1" s="26"/>
      <c r="G1" s="27"/>
      <c r="I1" s="25" t="s">
        <v>33</v>
      </c>
      <c r="J1" s="26"/>
      <c r="K1" s="27"/>
      <c r="M1" s="25" t="s">
        <v>46</v>
      </c>
      <c r="N1" s="26"/>
      <c r="O1" s="27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21">
        <f>F4/SQRT(2)</f>
        <v>42.426406871192846</v>
      </c>
      <c r="G2" s="5" t="s">
        <v>7</v>
      </c>
      <c r="I2" s="4" t="s">
        <v>26</v>
      </c>
      <c r="J2" s="21">
        <f>F4</f>
        <v>60</v>
      </c>
      <c r="K2" s="5" t="s">
        <v>7</v>
      </c>
      <c r="M2" s="15" t="s">
        <v>49</v>
      </c>
      <c r="N2" s="20">
        <f>((F17*(1-(F17/F15)))/(F26*F23*10^3))</f>
        <v>6.5886173588108662E-5</v>
      </c>
      <c r="O2" s="16" t="s">
        <v>50</v>
      </c>
    </row>
    <row r="3" spans="1:18" ht="16.2" thickBot="1" x14ac:dyDescent="0.4">
      <c r="A3" s="4" t="s">
        <v>1</v>
      </c>
      <c r="B3">
        <v>8</v>
      </c>
      <c r="C3" s="5" t="s">
        <v>3</v>
      </c>
      <c r="E3" s="4" t="s">
        <v>22</v>
      </c>
      <c r="F3" s="21">
        <v>110</v>
      </c>
      <c r="G3" s="5" t="s">
        <v>7</v>
      </c>
      <c r="I3" s="4" t="s">
        <v>27</v>
      </c>
      <c r="J3" s="21">
        <f>F5</f>
        <v>155.56349186104046</v>
      </c>
      <c r="K3" s="5" t="s">
        <v>7</v>
      </c>
      <c r="M3" s="6" t="s">
        <v>56</v>
      </c>
      <c r="N3" s="7">
        <f>((1-(F18))/(8*N2*F25*(F23*10^3)^2))</f>
        <v>6.6131866766249291E-5</v>
      </c>
      <c r="O3" s="8" t="s">
        <v>58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21">
        <v>60</v>
      </c>
      <c r="G4" s="5" t="s">
        <v>7</v>
      </c>
      <c r="I4" s="4" t="s">
        <v>35</v>
      </c>
      <c r="J4" s="21">
        <f>B18</f>
        <v>480</v>
      </c>
      <c r="K4" s="5" t="s">
        <v>16</v>
      </c>
    </row>
    <row r="5" spans="1:18" ht="15.6" x14ac:dyDescent="0.35">
      <c r="A5" s="4" t="s">
        <v>8</v>
      </c>
      <c r="B5">
        <v>2.5</v>
      </c>
      <c r="C5" s="5" t="s">
        <v>7</v>
      </c>
      <c r="E5" s="4" t="s">
        <v>21</v>
      </c>
      <c r="F5" s="21">
        <f>SQRT(2)*F3</f>
        <v>155.56349186104046</v>
      </c>
      <c r="G5" s="5" t="s">
        <v>7</v>
      </c>
      <c r="I5" s="4" t="s">
        <v>36</v>
      </c>
      <c r="J5" s="21">
        <f>B19</f>
        <v>700.8</v>
      </c>
      <c r="K5" s="5" t="s">
        <v>16</v>
      </c>
      <c r="R5" s="11"/>
    </row>
    <row r="6" spans="1:18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21">
        <f>SQRT(2/3)*J6</f>
        <v>2.5193466291910944</v>
      </c>
      <c r="G6" s="5" t="s">
        <v>30</v>
      </c>
      <c r="I6" s="4" t="s">
        <v>39</v>
      </c>
      <c r="J6" s="21">
        <f>F21</f>
        <v>3.0855568633594803</v>
      </c>
      <c r="K6" s="5" t="s">
        <v>30</v>
      </c>
    </row>
    <row r="7" spans="1:18" ht="16.2" thickBot="1" x14ac:dyDescent="0.4">
      <c r="E7" s="4" t="s">
        <v>42</v>
      </c>
      <c r="F7" s="21">
        <f>SQRT(2/3)*J7</f>
        <v>9.5366800652358403</v>
      </c>
      <c r="G7" s="5" t="s">
        <v>30</v>
      </c>
      <c r="I7" s="6" t="s">
        <v>40</v>
      </c>
      <c r="J7" s="22">
        <f>F22</f>
        <v>11.68</v>
      </c>
      <c r="K7" s="8" t="s">
        <v>30</v>
      </c>
      <c r="M7" s="13"/>
    </row>
    <row r="8" spans="1:18" ht="15.6" x14ac:dyDescent="0.35">
      <c r="E8" s="4" t="s">
        <v>11</v>
      </c>
      <c r="F8" s="21">
        <f>SQRT(3)*F6*F3</f>
        <v>479.99999999999994</v>
      </c>
      <c r="G8" s="5" t="s">
        <v>16</v>
      </c>
    </row>
    <row r="9" spans="1:18" ht="16.2" thickBot="1" x14ac:dyDescent="0.4">
      <c r="E9" s="6" t="s">
        <v>12</v>
      </c>
      <c r="F9" s="22">
        <f>SQRT(3)*F2*F7</f>
        <v>700.8</v>
      </c>
      <c r="G9" s="8" t="s">
        <v>16</v>
      </c>
    </row>
    <row r="12" spans="1:18" ht="15" thickBot="1" x14ac:dyDescent="0.35"/>
    <row r="13" spans="1:18" ht="15" thickBot="1" x14ac:dyDescent="0.35">
      <c r="A13" s="29" t="s">
        <v>18</v>
      </c>
      <c r="B13" s="30"/>
      <c r="C13" s="31"/>
      <c r="E13" s="25" t="s">
        <v>32</v>
      </c>
      <c r="F13" s="26"/>
      <c r="G13" s="27"/>
    </row>
    <row r="14" spans="1:18" ht="15.6" x14ac:dyDescent="0.35">
      <c r="A14" s="1" t="s">
        <v>6</v>
      </c>
      <c r="B14" s="23">
        <v>24</v>
      </c>
      <c r="C14" s="3" t="s">
        <v>7</v>
      </c>
      <c r="E14" s="4" t="s">
        <v>24</v>
      </c>
      <c r="F14" s="21">
        <f>J2</f>
        <v>60</v>
      </c>
      <c r="G14" s="5" t="s">
        <v>7</v>
      </c>
      <c r="H14" t="s">
        <v>63</v>
      </c>
    </row>
    <row r="15" spans="1:18" ht="15.6" x14ac:dyDescent="0.35">
      <c r="A15" s="4" t="s">
        <v>10</v>
      </c>
      <c r="B15" s="21">
        <v>8</v>
      </c>
      <c r="C15" s="5"/>
      <c r="E15" s="4" t="s">
        <v>25</v>
      </c>
      <c r="F15" s="21">
        <f>J3</f>
        <v>155.56349186104046</v>
      </c>
      <c r="G15" s="5" t="s">
        <v>7</v>
      </c>
    </row>
    <row r="16" spans="1:18" ht="15.6" x14ac:dyDescent="0.35">
      <c r="A16" s="4" t="s">
        <v>8</v>
      </c>
      <c r="B16" s="21">
        <f>B5*B15</f>
        <v>20</v>
      </c>
      <c r="C16" s="5" t="s">
        <v>7</v>
      </c>
      <c r="E16" s="4" t="s">
        <v>26</v>
      </c>
      <c r="F16" s="21">
        <f>B16</f>
        <v>20</v>
      </c>
      <c r="G16" s="5" t="s">
        <v>7</v>
      </c>
    </row>
    <row r="17" spans="1:7" ht="15.6" x14ac:dyDescent="0.35">
      <c r="A17" s="4" t="s">
        <v>9</v>
      </c>
      <c r="B17" s="21">
        <f>B6*B15</f>
        <v>29.2</v>
      </c>
      <c r="C17" s="5" t="s">
        <v>7</v>
      </c>
      <c r="E17" s="4" t="s">
        <v>27</v>
      </c>
      <c r="F17" s="21">
        <f>B17</f>
        <v>29.2</v>
      </c>
      <c r="G17" s="5" t="s">
        <v>7</v>
      </c>
    </row>
    <row r="18" spans="1:7" ht="15.6" x14ac:dyDescent="0.35">
      <c r="A18" s="4" t="s">
        <v>11</v>
      </c>
      <c r="B18" s="21">
        <f>B16*B4</f>
        <v>480</v>
      </c>
      <c r="C18" s="5" t="s">
        <v>16</v>
      </c>
      <c r="E18" s="4" t="s">
        <v>28</v>
      </c>
      <c r="F18" s="21">
        <f>F16/J3</f>
        <v>0.12856486930664501</v>
      </c>
      <c r="G18" s="5"/>
    </row>
    <row r="19" spans="1:7" ht="15.6" x14ac:dyDescent="0.35">
      <c r="A19" s="4" t="s">
        <v>12</v>
      </c>
      <c r="B19" s="21">
        <f>B17*B4</f>
        <v>700.8</v>
      </c>
      <c r="C19" s="5" t="s">
        <v>16</v>
      </c>
      <c r="E19" s="4" t="s">
        <v>34</v>
      </c>
      <c r="F19" s="21">
        <f>F17/J2</f>
        <v>0.48666666666666664</v>
      </c>
      <c r="G19" s="5"/>
    </row>
    <row r="20" spans="1:7" ht="15.6" x14ac:dyDescent="0.35">
      <c r="A20" s="4" t="s">
        <v>13</v>
      </c>
      <c r="B20" s="21">
        <f>B16/B4</f>
        <v>0.83333333333333337</v>
      </c>
      <c r="C20" s="9" t="s">
        <v>15</v>
      </c>
      <c r="E20" s="4" t="s">
        <v>29</v>
      </c>
      <c r="F20" s="21">
        <v>24</v>
      </c>
      <c r="G20" s="5" t="s">
        <v>30</v>
      </c>
    </row>
    <row r="21" spans="1:7" ht="16.2" thickBot="1" x14ac:dyDescent="0.4">
      <c r="A21" s="6" t="s">
        <v>14</v>
      </c>
      <c r="B21" s="22">
        <f>B17/B4</f>
        <v>1.2166666666666666</v>
      </c>
      <c r="C21" s="8" t="s">
        <v>15</v>
      </c>
      <c r="E21" s="4" t="s">
        <v>37</v>
      </c>
      <c r="F21" s="21">
        <f>F18*F20</f>
        <v>3.0855568633594803</v>
      </c>
      <c r="G21" s="5" t="s">
        <v>30</v>
      </c>
    </row>
    <row r="22" spans="1:7" ht="15.6" x14ac:dyDescent="0.35">
      <c r="E22" s="4" t="s">
        <v>38</v>
      </c>
      <c r="F22" s="21">
        <f>F19*F20</f>
        <v>11.68</v>
      </c>
      <c r="G22" s="5" t="s">
        <v>30</v>
      </c>
    </row>
    <row r="23" spans="1:7" x14ac:dyDescent="0.3">
      <c r="E23" s="4" t="s">
        <v>47</v>
      </c>
      <c r="F23" s="21">
        <v>50</v>
      </c>
      <c r="G23" s="5" t="s">
        <v>48</v>
      </c>
    </row>
    <row r="24" spans="1:7" ht="15.6" x14ac:dyDescent="0.35">
      <c r="A24" s="28"/>
      <c r="B24" s="28"/>
      <c r="C24" s="28"/>
      <c r="E24" s="4" t="s">
        <v>52</v>
      </c>
      <c r="F24" s="21">
        <v>0.3</v>
      </c>
      <c r="G24" s="5"/>
    </row>
    <row r="25" spans="1:7" ht="15.6" x14ac:dyDescent="0.35">
      <c r="E25" s="10" t="s">
        <v>54</v>
      </c>
      <c r="F25" s="21">
        <v>0.01</v>
      </c>
      <c r="G25" s="5"/>
    </row>
    <row r="26" spans="1:7" ht="16.2" thickBot="1" x14ac:dyDescent="0.4">
      <c r="E26" s="6" t="s">
        <v>55</v>
      </c>
      <c r="F26" s="22">
        <f>F24*F20</f>
        <v>7.1999999999999993</v>
      </c>
      <c r="G26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0" zoomScaleNormal="70" workbookViewId="0">
      <selection activeCell="J26" sqref="J26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9" t="s">
        <v>17</v>
      </c>
      <c r="B1" s="30"/>
      <c r="C1" s="31"/>
      <c r="E1" s="25" t="s">
        <v>44</v>
      </c>
      <c r="F1" s="26"/>
      <c r="G1" s="27"/>
      <c r="I1" s="25" t="s">
        <v>45</v>
      </c>
      <c r="J1" s="26"/>
      <c r="K1" s="27"/>
      <c r="M1" s="25" t="s">
        <v>46</v>
      </c>
      <c r="N1" s="26"/>
      <c r="O1" s="27"/>
    </row>
    <row r="2" spans="1:16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33.941125496954278</v>
      </c>
      <c r="G2" s="5" t="s">
        <v>7</v>
      </c>
      <c r="I2" s="4" t="s">
        <v>26</v>
      </c>
      <c r="J2" s="13">
        <f>F4</f>
        <v>48</v>
      </c>
      <c r="K2" s="5" t="s">
        <v>7</v>
      </c>
      <c r="M2" s="4" t="s">
        <v>59</v>
      </c>
      <c r="N2">
        <f>((F17*(1-(F17/F15)))/(F26*F23*10^3))</f>
        <v>3.6749321174804942E-5</v>
      </c>
      <c r="O2" s="5" t="s">
        <v>50</v>
      </c>
    </row>
    <row r="3" spans="1:16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17" t="s">
        <v>60</v>
      </c>
      <c r="N3" s="18">
        <f>((1-(F18))/(8*'24V analysis'!N2*F25*(F23*10^3)^2))</f>
        <v>7.1010161494304677E-5</v>
      </c>
      <c r="O3" s="19" t="s">
        <v>58</v>
      </c>
      <c r="P3" t="s">
        <v>62</v>
      </c>
    </row>
    <row r="4" spans="1:16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v>48</v>
      </c>
      <c r="G4" s="5" t="s">
        <v>7</v>
      </c>
      <c r="I4" s="4" t="s">
        <v>35</v>
      </c>
      <c r="J4" s="13">
        <f>B18</f>
        <v>240</v>
      </c>
      <c r="K4" s="5" t="s">
        <v>16</v>
      </c>
    </row>
    <row r="5" spans="1:16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</row>
    <row r="6" spans="1:16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6" ht="16.2" thickBot="1" x14ac:dyDescent="0.4">
      <c r="E7" s="4" t="s">
        <v>42</v>
      </c>
      <c r="F7" s="13">
        <f>SQRT(2/3)*J7</f>
        <v>5.9604250407723995</v>
      </c>
      <c r="G7" s="5" t="s">
        <v>30</v>
      </c>
      <c r="I7" s="6" t="s">
        <v>40</v>
      </c>
      <c r="J7" s="14">
        <f>F22</f>
        <v>7.2999999999999989</v>
      </c>
      <c r="K7" s="8" t="s">
        <v>30</v>
      </c>
      <c r="M7" t="s">
        <v>61</v>
      </c>
    </row>
    <row r="8" spans="1:16" ht="15.6" x14ac:dyDescent="0.35">
      <c r="E8" s="4" t="s">
        <v>11</v>
      </c>
      <c r="F8" s="13">
        <f>SQRT(3)*F6*F3</f>
        <v>239.99999999999997</v>
      </c>
      <c r="G8" s="5" t="s">
        <v>43</v>
      </c>
    </row>
    <row r="9" spans="1:16" ht="16.2" thickBot="1" x14ac:dyDescent="0.4">
      <c r="E9" s="6" t="s">
        <v>12</v>
      </c>
      <c r="F9" s="14">
        <f>SQRT(3)*F2*F7</f>
        <v>350.39999999999992</v>
      </c>
      <c r="G9" s="8" t="s">
        <v>43</v>
      </c>
      <c r="H9" s="12"/>
    </row>
    <row r="12" spans="1:16" ht="15" thickBot="1" x14ac:dyDescent="0.35"/>
    <row r="13" spans="1:16" ht="15" thickBot="1" x14ac:dyDescent="0.35">
      <c r="A13" s="29" t="s">
        <v>19</v>
      </c>
      <c r="B13" s="30"/>
      <c r="C13" s="31"/>
      <c r="E13" s="25" t="s">
        <v>57</v>
      </c>
      <c r="F13" s="26"/>
      <c r="G13" s="27"/>
    </row>
    <row r="14" spans="1:16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48</v>
      </c>
      <c r="G14" s="5" t="s">
        <v>7</v>
      </c>
      <c r="H14" t="s">
        <v>63</v>
      </c>
    </row>
    <row r="15" spans="1:16" ht="15.6" x14ac:dyDescent="0.35">
      <c r="A15" s="4" t="s">
        <v>10</v>
      </c>
      <c r="B15">
        <v>4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6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6.4282434653322507E-2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f>F17/J2</f>
        <v>0.30416666666666664</v>
      </c>
      <c r="G19" s="5"/>
    </row>
    <row r="20" spans="1:7" ht="15.6" x14ac:dyDescent="0.35">
      <c r="A20" s="4" t="s">
        <v>13</v>
      </c>
      <c r="B20" s="21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22">
        <f>B17/B4</f>
        <v>0.60833333333333328</v>
      </c>
      <c r="C21" s="8" t="s">
        <v>15</v>
      </c>
      <c r="E21" s="4" t="s">
        <v>37</v>
      </c>
      <c r="F21" s="13">
        <f>F18*F20</f>
        <v>1.5427784316797402</v>
      </c>
      <c r="G21" s="5" t="s">
        <v>30</v>
      </c>
    </row>
    <row r="22" spans="1:7" ht="15.6" x14ac:dyDescent="0.35">
      <c r="E22" s="4" t="s">
        <v>38</v>
      </c>
      <c r="F22" s="13">
        <f>F19*F20</f>
        <v>7.2999999999999989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8"/>
      <c r="B24" s="28"/>
      <c r="C24" s="28"/>
      <c r="E24" s="4" t="s">
        <v>52</v>
      </c>
      <c r="F24" s="13">
        <v>0.3</v>
      </c>
      <c r="G24" s="5"/>
    </row>
    <row r="25" spans="1:7" ht="15.6" x14ac:dyDescent="0.35">
      <c r="E25" s="4" t="s">
        <v>51</v>
      </c>
      <c r="F25" s="13">
        <v>0.01</v>
      </c>
      <c r="G25" s="5"/>
    </row>
    <row r="26" spans="1:7" ht="16.2" thickBot="1" x14ac:dyDescent="0.4">
      <c r="E26" s="24" t="s">
        <v>53</v>
      </c>
      <c r="F26" s="14">
        <f>F24*F20</f>
        <v>7.1999999999999993</v>
      </c>
      <c r="G26" s="8" t="s">
        <v>30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2026-08-07T00:13:28Z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