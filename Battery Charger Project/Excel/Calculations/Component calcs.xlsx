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EA8FA03E-EF6C-476F-80EE-B5F9B27E1238}" xr6:coauthVersionLast="47" xr6:coauthVersionMax="47" xr10:uidLastSave="{00000000-0000-0000-0000-000000000000}"/>
  <bookViews>
    <workbookView xWindow="11424" yWindow="0" windowWidth="11712" windowHeight="12336" activeTab="1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2" l="1"/>
  <c r="F21" i="2"/>
  <c r="F22" i="2"/>
  <c r="F26" i="2"/>
  <c r="F27" i="2"/>
  <c r="F19" i="2"/>
  <c r="J2" i="2"/>
  <c r="F19" i="1"/>
  <c r="F22" i="1"/>
  <c r="F21" i="1"/>
  <c r="F26" i="1"/>
  <c r="F27" i="1"/>
  <c r="F28" i="1"/>
  <c r="J2" i="1"/>
  <c r="F17" i="2"/>
  <c r="F18" i="2"/>
  <c r="B20" i="2"/>
  <c r="B17" i="2"/>
  <c r="J3" i="2"/>
  <c r="B4" i="1" l="1"/>
  <c r="F5" i="1"/>
  <c r="J3" i="1" s="1"/>
  <c r="F15" i="1" s="1"/>
  <c r="B16" i="2"/>
  <c r="F5" i="2"/>
  <c r="F15" i="2" s="1"/>
  <c r="B4" i="2"/>
  <c r="B17" i="1"/>
  <c r="F17" i="1" s="1"/>
  <c r="B16" i="1"/>
  <c r="F16" i="1" s="1"/>
  <c r="F14" i="2" l="1"/>
  <c r="B20" i="1"/>
  <c r="F18" i="1"/>
  <c r="F2" i="1"/>
  <c r="B18" i="2"/>
  <c r="J4" i="2" s="1"/>
  <c r="B21" i="2"/>
  <c r="B19" i="2"/>
  <c r="J5" i="2" s="1"/>
  <c r="F16" i="2"/>
  <c r="B18" i="1"/>
  <c r="J4" i="1" s="1"/>
  <c r="B19" i="1"/>
  <c r="J5" i="1" s="1"/>
  <c r="B21" i="1"/>
  <c r="F14" i="1" l="1"/>
  <c r="F2" i="2"/>
  <c r="J6" i="1" l="1"/>
  <c r="J7" i="1"/>
  <c r="J6" i="2"/>
  <c r="J7" i="2"/>
  <c r="F7" i="2" l="1"/>
  <c r="F9" i="2" s="1"/>
  <c r="F6" i="2"/>
  <c r="F8" i="2" s="1"/>
  <c r="F7" i="1"/>
  <c r="F9" i="1" s="1"/>
  <c r="F6" i="1"/>
  <c r="F8" i="1" s="1"/>
  <c r="N2" i="1"/>
  <c r="N2" i="2" l="1"/>
  <c r="N3" i="1"/>
</calcChain>
</file>

<file path=xl/sharedStrings.xml><?xml version="1.0" encoding="utf-8"?>
<sst xmlns="http://schemas.openxmlformats.org/spreadsheetml/2006/main" count="180" uniqueCount="66">
  <si>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</si>
  <si>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</si>
  <si>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</si>
  <si>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</si>
  <si>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</si>
  <si>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</si>
  <si>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</si>
  <si>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</si>
  <si>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</si>
  <si>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</si>
  <si>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</si>
  <si>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</si>
  <si>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</si>
  <si>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</si>
  <si>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</si>
  <si>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</si>
  <si>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</si>
  <si>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</si>
  <si>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</si>
  <si>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</si>
  <si>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</si>
  <si>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</si>
  <si>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</si>
  <si>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</si>
  <si>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</si>
  <si>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</si>
  <si>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</si>
  <si>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</si>
  <si>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</si>
  <si>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</si>
  <si>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</si>
  <si>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</si>
  <si>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</si>
  <si>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</si>
  <si>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</si>
  <si>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</si>
  <si>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</si>
  <si>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</si>
  <si>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</si>
  <si>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</si>
  <si>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</si>
  <si>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</si>
  <si>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</si>
  <si>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</si>
  <si>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</si>
  <si>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</si>
  <si>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</si>
  <si>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</si>
  <si>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</si>
  <si>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</si>
  <si>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</si>
  <si>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</si>
  <si>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</si>
  <si>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</si>
  <si>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ΔV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</si>
  <si>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</si>
  <si>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</si>
  <si>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</si>
  <si>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</si>
  <si>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</si>
  <si>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r>
      <t>I</t>
    </r>
    <r>
      <rPr>
        <vertAlign val="subscript"/>
        <sz val="11"/>
        <color theme="1"/>
        <rFont val="Aptos Narrow"/>
        <family val="2"/>
        <scheme val="minor"/>
      </rPr>
      <t>L,RMS</t>
    </r>
  </si>
  <si>
    <t>Lmax</t>
  </si>
  <si>
    <t>Cmax</t>
  </si>
  <si>
    <t>`</t>
  </si>
  <si>
    <t xml:space="preserve">%uses inductor value from 24V analysis to calculate Cmax </t>
  </si>
  <si>
    <t>%chosen to keep rectifier filter cap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</si>
</sst>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8"/>
  <sheetViews>
    <sheetView topLeftCell="B1" zoomScale="70" zoomScaleNormal="70" workbookViewId="0">
      <selection activeCell="N2" sqref="N2"/>
    </sheetView>
  </sheetViews>
  <sheetFormatPr defaultRowHeight="14.4" x14ac:dyDescent="0.3"/>
  <cols>
    <col min="1" max="1" width="19.109375" bestFit="1" customWidth="1"/>
    <col min="3" max="3" width="3.33203125" bestFit="1" customWidth="1"/>
    <col min="6" max="6" width="13.88671875" customWidth="1"/>
    <col min="7" max="7" width="4.33203125" bestFit="1" customWidth="1"/>
    <col min="10" max="10" width="7.10937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5" t="s">
        <v>17</v>
      </c>
      <c r="B1" s="26"/>
      <c r="C1" s="27"/>
      <c r="E1" s="21" t="s">
        <v>31</v>
      </c>
      <c r="F1" s="22"/>
      <c r="G1" s="23"/>
      <c r="I1" s="21" t="s">
        <v>33</v>
      </c>
      <c r="J1" s="22"/>
      <c r="K1" s="23"/>
      <c r="M1" s="21" t="s">
        <v>46</v>
      </c>
      <c r="N1" s="22"/>
      <c r="O1" s="23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42.426406871192846</v>
      </c>
      <c r="G2" s="5" t="s">
        <v>7</v>
      </c>
      <c r="I2" s="4" t="s">
        <v>26</v>
      </c>
      <c r="J2" s="13">
        <f>F4</f>
        <v>60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6" t="s">
        <v>57</v>
      </c>
      <c r="N3" s="7">
        <f>((1-(F18))/(8*N2*F25*(F23*10^3)^2))</f>
        <v>6.6131866766249291E-5</v>
      </c>
      <c r="O3" s="8" t="s">
        <v>59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60</v>
      </c>
      <c r="G4" s="5" t="s">
        <v>7</v>
      </c>
      <c r="I4" s="4" t="s">
        <v>35</v>
      </c>
      <c r="J4" s="13">
        <f>B18</f>
        <v>480</v>
      </c>
      <c r="K4" s="5" t="s">
        <v>16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700.8</v>
      </c>
      <c r="K5" s="5" t="s">
        <v>16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2.5193466291910944</v>
      </c>
      <c r="G6" s="5" t="s">
        <v>30</v>
      </c>
      <c r="I6" s="4" t="s">
        <v>39</v>
      </c>
      <c r="J6" s="13">
        <f>F21</f>
        <v>3.0855568633594803</v>
      </c>
      <c r="K6" s="5" t="s">
        <v>30</v>
      </c>
    </row>
    <row r="7" spans="1:18" ht="16.2" thickBot="1" x14ac:dyDescent="0.4">
      <c r="E7" s="4" t="s">
        <v>42</v>
      </c>
      <c r="F7" s="13">
        <f>SQRT(2/3)*J7</f>
        <v>9.5366800652358403</v>
      </c>
      <c r="G7" s="5" t="s">
        <v>30</v>
      </c>
      <c r="I7" s="6" t="s">
        <v>40</v>
      </c>
      <c r="J7" s="14">
        <f>F22</f>
        <v>11.68</v>
      </c>
      <c r="K7" s="8" t="s">
        <v>30</v>
      </c>
      <c r="M7" s="13"/>
    </row>
    <row r="8" spans="1:18" ht="15.6" x14ac:dyDescent="0.35">
      <c r="E8" s="4" t="s">
        <v>11</v>
      </c>
      <c r="F8" s="13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14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5" t="s">
        <v>18</v>
      </c>
      <c r="B13" s="26"/>
      <c r="C13" s="27"/>
      <c r="E13" s="21" t="s">
        <v>32</v>
      </c>
      <c r="F13" s="22"/>
      <c r="G13" s="23"/>
    </row>
    <row r="14" spans="1:18" ht="15.6" x14ac:dyDescent="0.35">
      <c r="A14" s="1" t="s">
        <v>6</v>
      </c>
      <c r="B14" s="2">
        <v>24</v>
      </c>
      <c r="C14" s="3" t="s">
        <v>7</v>
      </c>
      <c r="E14" s="4" t="s">
        <v>24</v>
      </c>
      <c r="F14" s="13">
        <f>J2</f>
        <v>60</v>
      </c>
      <c r="G14" s="5" t="s">
        <v>7</v>
      </c>
      <c r="H14" s="28" t="s">
        <v>65</v>
      </c>
    </row>
    <row r="15" spans="1:18" ht="15.6" x14ac:dyDescent="0.35">
      <c r="A15" s="4" t="s">
        <v>10</v>
      </c>
      <c r="B15">
        <v>8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8" ht="15.6" x14ac:dyDescent="0.35">
      <c r="A16" s="4" t="s">
        <v>8</v>
      </c>
      <c r="B16">
        <f>B5*B15</f>
        <v>20</v>
      </c>
      <c r="C16" s="5" t="s">
        <v>7</v>
      </c>
      <c r="E16" s="4" t="s">
        <v>26</v>
      </c>
      <c r="F16" s="13">
        <f>B16</f>
        <v>20</v>
      </c>
      <c r="G16" s="5" t="s">
        <v>7</v>
      </c>
    </row>
    <row r="17" spans="1:7" ht="15.6" x14ac:dyDescent="0.35">
      <c r="A17" s="4" t="s">
        <v>9</v>
      </c>
      <c r="B17">
        <f>B6*B15</f>
        <v>29.2</v>
      </c>
      <c r="C17" s="5" t="s">
        <v>7</v>
      </c>
      <c r="E17" s="4" t="s">
        <v>27</v>
      </c>
      <c r="F17" s="13">
        <f>B17</f>
        <v>29.2</v>
      </c>
      <c r="G17" s="5" t="s">
        <v>7</v>
      </c>
    </row>
    <row r="18" spans="1:7" ht="15.6" x14ac:dyDescent="0.35">
      <c r="A18" s="4" t="s">
        <v>11</v>
      </c>
      <c r="B18">
        <f>B16*B4</f>
        <v>480</v>
      </c>
      <c r="C18" s="5" t="s">
        <v>16</v>
      </c>
      <c r="E18" s="4" t="s">
        <v>28</v>
      </c>
      <c r="F18" s="13">
        <f>F16/J3</f>
        <v>0.12856486930664501</v>
      </c>
      <c r="G18" s="5"/>
    </row>
    <row r="19" spans="1:7" ht="15.6" x14ac:dyDescent="0.35">
      <c r="A19" s="4" t="s">
        <v>12</v>
      </c>
      <c r="B19">
        <f>B17*B4</f>
        <v>700.8</v>
      </c>
      <c r="C19" s="5" t="s">
        <v>16</v>
      </c>
      <c r="E19" s="4" t="s">
        <v>34</v>
      </c>
      <c r="F19" s="13">
        <f>F17/J2</f>
        <v>0.48666666666666664</v>
      </c>
      <c r="G19" s="5"/>
    </row>
    <row r="20" spans="1:7" ht="15.6" x14ac:dyDescent="0.35">
      <c r="A20" s="4" t="s">
        <v>13</v>
      </c>
      <c r="B20" s="13">
        <f>B16/B4</f>
        <v>0.83333333333333337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1.2166666666666666</v>
      </c>
      <c r="C21" s="8" t="s">
        <v>15</v>
      </c>
      <c r="E21" s="4" t="s">
        <v>37</v>
      </c>
      <c r="F21" s="13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13">
        <f>F19*F20</f>
        <v>11.68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4"/>
      <c r="B24" s="24"/>
      <c r="C24" s="24"/>
      <c r="E24" s="4" t="s">
        <v>52</v>
      </c>
      <c r="F24" s="13">
        <v>0.3</v>
      </c>
      <c r="G24" s="5"/>
    </row>
    <row r="25" spans="1:7" ht="15.6" x14ac:dyDescent="0.35">
      <c r="E25" s="10" t="s">
        <v>55</v>
      </c>
      <c r="F25" s="13">
        <v>0.01</v>
      </c>
      <c r="G25" s="5"/>
    </row>
    <row r="26" spans="1:7" ht="15.6" x14ac:dyDescent="0.35">
      <c r="E26" s="4" t="s">
        <v>56</v>
      </c>
      <c r="F26" s="13">
        <f>F24*F20</f>
        <v>7.1999999999999993</v>
      </c>
      <c r="G26" s="5" t="s">
        <v>30</v>
      </c>
    </row>
    <row r="27" spans="1:7" ht="15.6" x14ac:dyDescent="0.35">
      <c r="E27" s="4" t="s">
        <v>54</v>
      </c>
      <c r="F27" s="13">
        <f>F25*F17</f>
        <v>0.29199999999999998</v>
      </c>
      <c r="G27" s="5" t="s">
        <v>7</v>
      </c>
    </row>
    <row r="28" spans="1:7" ht="16.2" thickBot="1" x14ac:dyDescent="0.4">
      <c r="E28" s="6" t="s">
        <v>60</v>
      </c>
      <c r="F28" s="7">
        <f>SQRT(((F20^2)+(3.6^2)))</f>
        <v>24.268498099388022</v>
      </c>
      <c r="G28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7"/>
  <sheetViews>
    <sheetView tabSelected="1" zoomScale="70" zoomScaleNormal="70" workbookViewId="0">
      <selection activeCell="N3" sqref="N3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5" t="s">
        <v>17</v>
      </c>
      <c r="B1" s="26"/>
      <c r="C1" s="27"/>
      <c r="E1" s="21" t="s">
        <v>44</v>
      </c>
      <c r="F1" s="22"/>
      <c r="G1" s="23"/>
      <c r="I1" s="21" t="s">
        <v>45</v>
      </c>
      <c r="J1" s="22"/>
      <c r="K1" s="23"/>
      <c r="M1" s="21" t="s">
        <v>46</v>
      </c>
      <c r="N1" s="22"/>
      <c r="O1" s="23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61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62</v>
      </c>
      <c r="N3" s="18">
        <f>((1-(F18))/(8*'24V analysis'!N2*F25*(F23*10^3)^2))</f>
        <v>7.1010161494304677E-5</v>
      </c>
      <c r="O3" s="19" t="s">
        <v>59</v>
      </c>
      <c r="P3" t="s">
        <v>64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63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5" t="s">
        <v>19</v>
      </c>
      <c r="B13" s="26"/>
      <c r="C13" s="27"/>
      <c r="E13" s="21" t="s">
        <v>58</v>
      </c>
      <c r="F13" s="22"/>
      <c r="G13" s="23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48</v>
      </c>
      <c r="G14" s="5" t="s">
        <v>7</v>
      </c>
      <c r="H14" s="28" t="s">
        <v>65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f>F17/J2</f>
        <v>0.30416666666666664</v>
      </c>
      <c r="G19" s="5"/>
    </row>
    <row r="20" spans="1:7" ht="15.6" x14ac:dyDescent="0.35">
      <c r="A20" s="4" t="s">
        <v>13</v>
      </c>
      <c r="B20" s="13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7.2999999999999989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4"/>
      <c r="B24" s="24"/>
      <c r="C24" s="24"/>
      <c r="E24" s="4" t="s">
        <v>52</v>
      </c>
      <c r="F24" s="13">
        <v>0.3</v>
      </c>
      <c r="G24" s="5"/>
    </row>
    <row r="25" spans="1:7" ht="15.6" x14ac:dyDescent="0.35">
      <c r="E25" s="4" t="s">
        <v>51</v>
      </c>
      <c r="F25" s="13">
        <v>0.01</v>
      </c>
      <c r="G25" s="5"/>
    </row>
    <row r="26" spans="1:7" ht="15.6" x14ac:dyDescent="0.35">
      <c r="E26" s="10" t="s">
        <v>53</v>
      </c>
      <c r="F26" s="13">
        <f>F24*F20</f>
        <v>7.1999999999999993</v>
      </c>
      <c r="G26" s="5" t="s">
        <v>30</v>
      </c>
    </row>
    <row r="27" spans="1:7" ht="16.2" thickBot="1" x14ac:dyDescent="0.4">
      <c r="E27" s="6" t="s">
        <v>54</v>
      </c>
      <c r="F27" s="14">
        <f>F25*F17</f>
        <v>0.14599999999999999</v>
      </c>
      <c r="G27" s="8" t="s">
        <v>7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2026-07-14T22:28:59Z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