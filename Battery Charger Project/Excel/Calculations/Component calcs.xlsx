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razano\Acedemic\Research\Battery-Charger\Battery Charger Project\Excel\Calculations\"/>
    </mc:Choice>
  </mc:AlternateContent>
  <xr:revisionPtr revIDLastSave="0" documentId="13_ncr:1_{49D38EDC-B945-48A5-AF6D-F04D58DF9D98}" xr6:coauthVersionLast="47" xr6:coauthVersionMax="47" xr10:uidLastSave="{00000000-0000-0000-0000-000000000000}"/>
  <bookViews>
    <workbookView xWindow="-96" yWindow="0" windowWidth="11712" windowHeight="12336" activeTab="1" xr2:uid="{8EA801AC-1218-4C2A-8BFC-BC5B39F04A2A}"/>
  </bookViews>
  <sheets>
    <sheet name="24V analysis" sheetId="1" r:id="rId1"/>
    <sheet name="12V analysi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J7" i="1"/>
  <c r="F16" i="1"/>
  <c r="F20" i="2"/>
  <c r="B21" i="2"/>
  <c r="B20" i="2"/>
  <c r="B17" i="2"/>
  <c r="F17" i="2" s="1"/>
  <c r="B16" i="2"/>
  <c r="B4" i="2"/>
  <c r="B4" i="1"/>
  <c r="F20" i="1" s="1"/>
  <c r="F21" i="1" s="1"/>
  <c r="B21" i="1"/>
  <c r="B20" i="1"/>
  <c r="B16" i="1"/>
  <c r="F26" i="2"/>
  <c r="J2" i="2"/>
  <c r="J2" i="1"/>
  <c r="F14" i="1" s="1"/>
  <c r="B18" i="2" l="1"/>
  <c r="B19" i="2"/>
  <c r="F19" i="2"/>
  <c r="F22" i="2" s="1"/>
  <c r="F26" i="1"/>
  <c r="N2" i="1" s="1"/>
  <c r="N3" i="1" s="1"/>
  <c r="F5" i="1"/>
  <c r="J3" i="1" s="1"/>
  <c r="F5" i="2"/>
  <c r="B17" i="1"/>
  <c r="F17" i="1" s="1"/>
  <c r="J3" i="2" l="1"/>
  <c r="F15" i="2" s="1"/>
  <c r="F16" i="2"/>
  <c r="F19" i="1"/>
  <c r="F22" i="1" s="1"/>
  <c r="F14" i="2"/>
  <c r="F18" i="1"/>
  <c r="F2" i="1"/>
  <c r="J4" i="2"/>
  <c r="J5" i="2"/>
  <c r="B18" i="1"/>
  <c r="J4" i="1" s="1"/>
  <c r="B19" i="1"/>
  <c r="J5" i="1" s="1"/>
  <c r="F18" i="2" l="1"/>
  <c r="F21" i="2" s="1"/>
  <c r="F2" i="2"/>
  <c r="N3" i="2" l="1"/>
  <c r="J6" i="1"/>
  <c r="J6" i="2"/>
  <c r="J7" i="2"/>
  <c r="F7" i="2" s="1"/>
  <c r="F9" i="2" l="1"/>
  <c r="F6" i="2"/>
  <c r="F8" i="2" s="1"/>
  <c r="F7" i="1"/>
  <c r="F9" i="1" s="1"/>
  <c r="F6" i="1"/>
  <c r="F8" i="1" s="1"/>
  <c r="N2" i="2" l="1"/>
</calcChain>
</file>

<file path=xl/sharedStrings.xml><?xml version="1.0" encoding="utf-8"?>
<sst xmlns="http://schemas.openxmlformats.org/spreadsheetml/2006/main" count="188" uniqueCount="69">
  <si>
    <t>C-rate</t>
  </si>
  <si>
    <t>Battery capacity</t>
  </si>
  <si>
    <t>C</t>
  </si>
  <si>
    <t>Ah</t>
  </si>
  <si>
    <t xml:space="preserve">A </t>
  </si>
  <si>
    <r>
      <t>I</t>
    </r>
    <r>
      <rPr>
        <vertAlign val="subscript"/>
        <sz val="11"/>
        <color theme="1"/>
        <rFont val="Aptos Narrow"/>
        <family val="2"/>
        <scheme val="minor"/>
      </rPr>
      <t>charge</t>
    </r>
  </si>
  <si>
    <t xml:space="preserve">Nominal pack voltage </t>
  </si>
  <si>
    <t>V</t>
  </si>
  <si>
    <t>Cells</t>
  </si>
  <si>
    <r>
      <t>P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</si>
  <si>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</si>
  <si>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</si>
  <si>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max</t>
    </r>
  </si>
  <si>
    <t>Ω</t>
  </si>
  <si>
    <t>W</t>
  </si>
  <si>
    <t>Battery cell</t>
  </si>
  <si>
    <t>24V battery pack</t>
  </si>
  <si>
    <t>12V battery pack</t>
  </si>
  <si>
    <r>
      <t>V</t>
    </r>
    <r>
      <rPr>
        <vertAlign val="subscript"/>
        <sz val="11"/>
        <color theme="1"/>
        <rFont val="Aptos Narrow"/>
        <family val="2"/>
        <scheme val="minor"/>
      </rPr>
      <t>L-L,min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</si>
  <si>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L-L,max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</si>
  <si>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L-L,RMS,max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</si>
  <si>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L-L,RMS,min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</si>
  <si>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in,min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</si>
  <si>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in,max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</si>
  <si>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o,min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</si>
  <si>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o,max</t>
    </r>
  </si>
  <si>
    <r>
      <t>D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</si>
  <si>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o</t>
    </r>
  </si>
  <si>
    <t>A</t>
  </si>
  <si>
    <t>Generator (24V)</t>
  </si>
  <si>
    <t>Buck (24V)</t>
  </si>
  <si>
    <t>Rectifier (24V)</t>
  </si>
  <si>
    <r>
      <t>D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</si>
  <si>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o,min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</si>
  <si>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o,max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</si>
  <si>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s,min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</si>
  <si>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s,max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</si>
  <si>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o,min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</si>
  <si>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o,max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</si>
  <si>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s,RMS,min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</si>
  <si>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s,RMS,max</t>
    </r>
  </si>
  <si>
    <t>VA</t>
  </si>
  <si>
    <t>Generator (12V)</t>
  </si>
  <si>
    <t>Rectifier (12V)</t>
  </si>
  <si>
    <t>Buck components</t>
  </si>
  <si>
    <t>f</t>
  </si>
  <si>
    <t>kHz</t>
  </si>
  <si>
    <r>
      <t>L</t>
    </r>
    <r>
      <rPr>
        <vertAlign val="subscript"/>
        <sz val="11"/>
        <color theme="1"/>
        <rFont val="Aptos Narrow"/>
        <family val="2"/>
        <scheme val="minor"/>
      </rPr>
      <t>max</t>
    </r>
  </si>
  <si>
    <t>H</t>
  </si>
  <si>
    <r>
      <t>V</t>
    </r>
    <r>
      <rPr>
        <vertAlign val="sub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R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</si>
  <si>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CR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</si>
  <si>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Δi</t>
    </r>
    <r>
      <rPr>
        <vertAlign val="subscript"/>
        <sz val="11"/>
        <color theme="1"/>
        <rFont val="Calibri"/>
        <family val="2"/>
      </rPr>
      <t>L,max</t>
    </r>
  </si>
  <si>
    <r>
      <t>V</t>
    </r>
    <r>
      <rPr>
        <vertAlign val="subscript"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>R</t>
    </r>
    <r>
      <rPr>
        <vertAlign val="subscript"/>
        <sz val="11"/>
        <color theme="1"/>
        <rFont val="Calibri"/>
        <family val="2"/>
      </rPr>
      <t xml:space="preserve">max  </t>
    </r>
  </si>
  <si>
    <r>
      <t>Δi</t>
    </r>
    <r>
      <rPr>
        <vertAlign val="subscript"/>
        <sz val="11"/>
        <color theme="1"/>
        <rFont val="Aptos Narrow"/>
        <family val="2"/>
        <scheme val="minor"/>
      </rPr>
      <t>L,max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</si>
  <si>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max</t>
    </r>
  </si>
  <si>
    <t>Buck (12V)</t>
  </si>
  <si>
    <t>F</t>
  </si>
  <si>
    <t>Lmax</t>
  </si>
  <si>
    <t>Cmax</t>
  </si>
  <si>
    <t>`</t>
  </si>
  <si>
    <t xml:space="preserve">%uses inductor value from 24V analysis to calculate Cmax </t>
  </si>
  <si>
    <t>%chosen to keep rectifier filter cap low</t>
  </si>
  <si>
    <r>
      <t>V</t>
    </r>
    <r>
      <rPr>
        <vertAlign val="subscript"/>
        <sz val="11"/>
        <color theme="1"/>
        <rFont val="Aptos Narrow"/>
        <family val="2"/>
        <scheme val="minor"/>
      </rPr>
      <t>term,max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</si>
  <si>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term,min</t>
    </r>
  </si>
  <si>
    <t>Max 2A range Is</t>
  </si>
  <si>
    <t>1.46A</t>
  </si>
  <si>
    <t>Max 8A  range Is</t>
  </si>
  <si>
    <t>3.68A</t>
  </si>
  <si>
    <t>Max current after ripple in 8A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</si>
</sst>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5" xfId="0" applyFont="1" applyBorder="1"/>
    <xf numFmtId="0" fontId="2" fillId="0" borderId="4" xfId="0" applyFont="1" applyBorder="1"/>
    <xf numFmtId="11" fontId="0" fillId="0" borderId="0" xfId="0" applyNumberFormat="1"/>
    <xf numFmtId="0" fontId="0" fillId="0" borderId="0" xfId="0" quotePrefix="1"/>
    <xf numFmtId="2" fontId="0" fillId="0" borderId="0" xfId="0" applyNumberFormat="1"/>
    <xf numFmtId="2" fontId="0" fillId="0" borderId="7" xfId="0" applyNumberFormat="1" applyBorder="1"/>
    <xf numFmtId="0" fontId="0" fillId="2" borderId="4" xfId="0" applyFill="1" applyBorder="1"/>
    <xf numFmtId="0" fontId="0" fillId="2" borderId="5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0" xfId="0" applyFill="1"/>
    <xf numFmtId="164" fontId="0" fillId="0" borderId="0" xfId="0" applyNumberFormat="1"/>
    <xf numFmtId="164" fontId="0" fillId="0" borderId="7" xfId="0" applyNumberFormat="1" applyBorder="1"/>
    <xf numFmtId="164" fontId="0" fillId="0" borderId="2" xfId="0" applyNumberFormat="1" applyBorder="1"/>
    <xf numFmtId="0" fontId="2" fillId="0" borderId="6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43F6-C991-4FED-A486-EADAA5F16055}">
  <dimension ref="A1:S26"/>
  <sheetViews>
    <sheetView zoomScale="85" zoomScaleNormal="85" workbookViewId="0">
      <selection activeCell="B6" sqref="B6"/>
    </sheetView>
  </sheetViews>
  <sheetFormatPr defaultRowHeight="14.4" x14ac:dyDescent="0.3"/>
  <cols>
    <col min="1" max="1" width="19.109375" bestFit="1" customWidth="1"/>
    <col min="2" max="2" width="9.33203125" bestFit="1" customWidth="1"/>
    <col min="3" max="3" width="3.33203125" bestFit="1" customWidth="1"/>
    <col min="6" max="6" width="13.88671875" customWidth="1"/>
    <col min="7" max="7" width="4.33203125" bestFit="1" customWidth="1"/>
    <col min="10" max="10" width="9.33203125" bestFit="1" customWidth="1"/>
    <col min="11" max="11" width="2.6640625" bestFit="1" customWidth="1"/>
    <col min="12" max="12" width="12.33203125" bestFit="1" customWidth="1"/>
    <col min="13" max="13" width="14.44140625" bestFit="1" customWidth="1"/>
    <col min="14" max="14" width="12.33203125" customWidth="1"/>
    <col min="17" max="17" width="30.77734375" bestFit="1" customWidth="1"/>
  </cols>
  <sheetData>
    <row r="1" spans="1:19" ht="15" thickBot="1" x14ac:dyDescent="0.35">
      <c r="A1" s="28" t="s">
        <v>15</v>
      </c>
      <c r="B1" s="29"/>
      <c r="C1" s="30"/>
      <c r="E1" s="24" t="s">
        <v>29</v>
      </c>
      <c r="F1" s="25"/>
      <c r="G1" s="26"/>
      <c r="I1" s="24" t="s">
        <v>31</v>
      </c>
      <c r="J1" s="25"/>
      <c r="K1" s="26"/>
      <c r="M1" s="24" t="s">
        <v>44</v>
      </c>
      <c r="N1" s="25"/>
      <c r="O1" s="26"/>
      <c r="Q1" t="s">
        <v>68</v>
      </c>
      <c r="R1">
        <v>8.4499999999999993</v>
      </c>
      <c r="S1" t="s">
        <v>28</v>
      </c>
    </row>
    <row r="2" spans="1:19" ht="15.6" x14ac:dyDescent="0.35">
      <c r="A2" s="3" t="s">
        <v>0</v>
      </c>
      <c r="B2">
        <v>1</v>
      </c>
      <c r="C2" s="4" t="s">
        <v>2</v>
      </c>
      <c r="E2" s="3" t="s">
        <v>21</v>
      </c>
      <c r="F2" s="20">
        <f>F4/SQRT(2)</f>
        <v>26.51650429449553</v>
      </c>
      <c r="G2" s="4" t="s">
        <v>7</v>
      </c>
      <c r="I2" s="3" t="s">
        <v>24</v>
      </c>
      <c r="J2" s="20">
        <f>F4</f>
        <v>37.5</v>
      </c>
      <c r="K2" s="4" t="s">
        <v>7</v>
      </c>
      <c r="M2" s="14" t="s">
        <v>47</v>
      </c>
      <c r="N2" s="19">
        <f>((F17*(1-(F17/F15)))/(F26*F23*10^3))</f>
        <v>1.8919351048207091E-4</v>
      </c>
      <c r="O2" s="15" t="s">
        <v>48</v>
      </c>
    </row>
    <row r="3" spans="1:19" ht="16.2" thickBot="1" x14ac:dyDescent="0.4">
      <c r="A3" s="3" t="s">
        <v>1</v>
      </c>
      <c r="B3">
        <v>8</v>
      </c>
      <c r="C3" s="4" t="s">
        <v>3</v>
      </c>
      <c r="E3" s="3" t="s">
        <v>20</v>
      </c>
      <c r="F3" s="20">
        <v>110</v>
      </c>
      <c r="G3" s="4" t="s">
        <v>7</v>
      </c>
      <c r="I3" s="3" t="s">
        <v>25</v>
      </c>
      <c r="J3" s="20">
        <f>F5</f>
        <v>155.56349186104046</v>
      </c>
      <c r="K3" s="4" t="s">
        <v>7</v>
      </c>
      <c r="M3" s="5" t="s">
        <v>54</v>
      </c>
      <c r="N3" s="6">
        <f>((1-(F18))/(8*N2*F25*(F23*10^3)^2))</f>
        <v>2.2502935243586357E-5</v>
      </c>
      <c r="O3" s="7" t="s">
        <v>56</v>
      </c>
    </row>
    <row r="4" spans="1:19" ht="15.6" x14ac:dyDescent="0.35">
      <c r="A4" s="3" t="s">
        <v>5</v>
      </c>
      <c r="B4">
        <f>B2*B3</f>
        <v>8</v>
      </c>
      <c r="C4" s="4" t="s">
        <v>4</v>
      </c>
      <c r="E4" s="3" t="s">
        <v>18</v>
      </c>
      <c r="F4" s="20">
        <v>37.5</v>
      </c>
      <c r="G4" s="4" t="s">
        <v>7</v>
      </c>
      <c r="I4" s="3" t="s">
        <v>33</v>
      </c>
      <c r="J4" s="20">
        <f>B18</f>
        <v>184.83199999999999</v>
      </c>
      <c r="K4" s="4" t="s">
        <v>14</v>
      </c>
    </row>
    <row r="5" spans="1:19" ht="15.6" x14ac:dyDescent="0.35">
      <c r="A5" s="3" t="s">
        <v>63</v>
      </c>
      <c r="B5">
        <v>2.8879999999999999</v>
      </c>
      <c r="C5" s="4" t="s">
        <v>7</v>
      </c>
      <c r="E5" s="3" t="s">
        <v>19</v>
      </c>
      <c r="F5" s="20">
        <f>SQRT(2)*F3</f>
        <v>155.56349186104046</v>
      </c>
      <c r="G5" s="4" t="s">
        <v>7</v>
      </c>
      <c r="I5" s="3" t="s">
        <v>34</v>
      </c>
      <c r="J5" s="20">
        <f>B19</f>
        <v>220.8</v>
      </c>
      <c r="K5" s="4" t="s">
        <v>14</v>
      </c>
      <c r="R5" s="10"/>
    </row>
    <row r="6" spans="1:19" ht="15.6" x14ac:dyDescent="0.35">
      <c r="A6" s="3" t="s">
        <v>62</v>
      </c>
      <c r="B6">
        <v>3.45</v>
      </c>
      <c r="C6" s="4" t="s">
        <v>7</v>
      </c>
      <c r="E6" s="3" t="s">
        <v>39</v>
      </c>
      <c r="F6" s="20">
        <f>SQRT(2/3)*J6</f>
        <v>0.97011640868051718</v>
      </c>
      <c r="G6" s="4" t="s">
        <v>28</v>
      </c>
      <c r="I6" s="3" t="s">
        <v>37</v>
      </c>
      <c r="J6" s="20">
        <f>F21</f>
        <v>1.1881450961842903</v>
      </c>
      <c r="K6" s="4" t="s">
        <v>28</v>
      </c>
    </row>
    <row r="7" spans="1:19" ht="16.2" thickBot="1" x14ac:dyDescent="0.4">
      <c r="A7" s="3" t="s">
        <v>11</v>
      </c>
      <c r="B7" s="20">
        <v>7.6E-3</v>
      </c>
      <c r="C7" s="8" t="s">
        <v>13</v>
      </c>
      <c r="E7" s="3" t="s">
        <v>40</v>
      </c>
      <c r="F7" s="20">
        <f>SQRT(2/3)*J7</f>
        <v>4.8075318685024504</v>
      </c>
      <c r="G7" s="4" t="s">
        <v>28</v>
      </c>
      <c r="I7" s="5" t="s">
        <v>38</v>
      </c>
      <c r="J7" s="21">
        <f>F22</f>
        <v>5.8879999999999999</v>
      </c>
      <c r="K7" s="7" t="s">
        <v>28</v>
      </c>
      <c r="M7" s="12"/>
    </row>
    <row r="8" spans="1:19" ht="16.2" thickBot="1" x14ac:dyDescent="0.4">
      <c r="A8" s="5" t="s">
        <v>12</v>
      </c>
      <c r="B8" s="21">
        <v>1.1650000000000001E-2</v>
      </c>
      <c r="C8" s="7" t="s">
        <v>13</v>
      </c>
      <c r="E8" s="3" t="s">
        <v>9</v>
      </c>
      <c r="F8" s="20">
        <f>SQRT(3)*F6*F3</f>
        <v>184.83199999999994</v>
      </c>
      <c r="G8" s="4" t="s">
        <v>41</v>
      </c>
    </row>
    <row r="9" spans="1:19" ht="16.2" thickBot="1" x14ac:dyDescent="0.4">
      <c r="E9" s="5" t="s">
        <v>10</v>
      </c>
      <c r="F9" s="21">
        <f>SQRT(3)*F2*F7</f>
        <v>220.79999999999993</v>
      </c>
      <c r="G9" s="7" t="s">
        <v>41</v>
      </c>
    </row>
    <row r="12" spans="1:19" ht="15" thickBot="1" x14ac:dyDescent="0.35"/>
    <row r="13" spans="1:19" ht="15" thickBot="1" x14ac:dyDescent="0.35">
      <c r="A13" s="28" t="s">
        <v>16</v>
      </c>
      <c r="B13" s="29"/>
      <c r="C13" s="30"/>
      <c r="E13" s="24" t="s">
        <v>30</v>
      </c>
      <c r="F13" s="25"/>
      <c r="G13" s="26"/>
    </row>
    <row r="14" spans="1:19" ht="15.6" x14ac:dyDescent="0.35">
      <c r="A14" s="1" t="s">
        <v>6</v>
      </c>
      <c r="B14" s="22">
        <v>24</v>
      </c>
      <c r="C14" s="2" t="s">
        <v>7</v>
      </c>
      <c r="E14" s="3" t="s">
        <v>22</v>
      </c>
      <c r="F14" s="20">
        <f>J2</f>
        <v>37.5</v>
      </c>
      <c r="G14" s="4" t="s">
        <v>7</v>
      </c>
      <c r="H14" t="s">
        <v>61</v>
      </c>
    </row>
    <row r="15" spans="1:19" ht="15.6" x14ac:dyDescent="0.35">
      <c r="A15" s="3" t="s">
        <v>8</v>
      </c>
      <c r="B15" s="20">
        <v>8</v>
      </c>
      <c r="C15" s="4"/>
      <c r="E15" s="3" t="s">
        <v>23</v>
      </c>
      <c r="F15" s="20">
        <f>J3</f>
        <v>155.56349186104046</v>
      </c>
      <c r="G15" s="4" t="s">
        <v>7</v>
      </c>
    </row>
    <row r="16" spans="1:19" ht="15.6" x14ac:dyDescent="0.35">
      <c r="A16" s="3" t="s">
        <v>63</v>
      </c>
      <c r="B16" s="20">
        <f>B5*B15</f>
        <v>23.103999999999999</v>
      </c>
      <c r="C16" s="4" t="s">
        <v>7</v>
      </c>
      <c r="E16" s="3" t="s">
        <v>24</v>
      </c>
      <c r="F16" s="20">
        <f>B16</f>
        <v>23.103999999999999</v>
      </c>
      <c r="G16" s="4" t="s">
        <v>7</v>
      </c>
    </row>
    <row r="17" spans="1:14" ht="15.6" x14ac:dyDescent="0.35">
      <c r="A17" s="3" t="s">
        <v>62</v>
      </c>
      <c r="B17" s="20">
        <f>B6*B15</f>
        <v>27.6</v>
      </c>
      <c r="C17" s="4" t="s">
        <v>7</v>
      </c>
      <c r="E17" s="3" t="s">
        <v>25</v>
      </c>
      <c r="F17" s="20">
        <f>B17</f>
        <v>27.6</v>
      </c>
      <c r="G17" s="4" t="s">
        <v>7</v>
      </c>
    </row>
    <row r="18" spans="1:14" ht="15.6" x14ac:dyDescent="0.35">
      <c r="A18" s="3" t="s">
        <v>9</v>
      </c>
      <c r="B18" s="20">
        <f>B16*B4</f>
        <v>184.83199999999999</v>
      </c>
      <c r="C18" s="4" t="s">
        <v>14</v>
      </c>
      <c r="E18" s="3" t="s">
        <v>26</v>
      </c>
      <c r="F18" s="20">
        <f>F16/J3</f>
        <v>0.14851813702303629</v>
      </c>
      <c r="G18" s="4"/>
    </row>
    <row r="19" spans="1:14" ht="15.6" x14ac:dyDescent="0.35">
      <c r="A19" s="3" t="s">
        <v>10</v>
      </c>
      <c r="B19" s="20">
        <f>B17*B4</f>
        <v>220.8</v>
      </c>
      <c r="C19" s="4" t="s">
        <v>14</v>
      </c>
      <c r="E19" s="3" t="s">
        <v>32</v>
      </c>
      <c r="F19" s="20">
        <f>F17/J2</f>
        <v>0.73599999999999999</v>
      </c>
      <c r="G19" s="4"/>
    </row>
    <row r="20" spans="1:14" ht="15.6" x14ac:dyDescent="0.35">
      <c r="A20" s="3" t="s">
        <v>11</v>
      </c>
      <c r="B20" s="20">
        <f>B15*B7</f>
        <v>6.08E-2</v>
      </c>
      <c r="C20" s="8" t="s">
        <v>13</v>
      </c>
      <c r="E20" s="3" t="s">
        <v>27</v>
      </c>
      <c r="F20" s="20">
        <f>B4</f>
        <v>8</v>
      </c>
      <c r="G20" s="4" t="s">
        <v>28</v>
      </c>
      <c r="M20" t="s">
        <v>64</v>
      </c>
      <c r="N20" t="s">
        <v>65</v>
      </c>
    </row>
    <row r="21" spans="1:14" ht="16.2" thickBot="1" x14ac:dyDescent="0.4">
      <c r="A21" s="5" t="s">
        <v>12</v>
      </c>
      <c r="B21" s="21">
        <f>B15*B8</f>
        <v>9.3200000000000005E-2</v>
      </c>
      <c r="C21" s="7" t="s">
        <v>13</v>
      </c>
      <c r="E21" s="3" t="s">
        <v>35</v>
      </c>
      <c r="F21" s="20">
        <f>F18*F20</f>
        <v>1.1881450961842903</v>
      </c>
      <c r="G21" s="4" t="s">
        <v>28</v>
      </c>
      <c r="M21" t="s">
        <v>66</v>
      </c>
      <c r="N21" t="s">
        <v>67</v>
      </c>
    </row>
    <row r="22" spans="1:14" ht="15.6" x14ac:dyDescent="0.35">
      <c r="E22" s="3" t="s">
        <v>36</v>
      </c>
      <c r="F22" s="20">
        <f>F19*F20</f>
        <v>5.8879999999999999</v>
      </c>
      <c r="G22" s="4" t="s">
        <v>28</v>
      </c>
    </row>
    <row r="23" spans="1:14" x14ac:dyDescent="0.3">
      <c r="E23" s="3" t="s">
        <v>45</v>
      </c>
      <c r="F23" s="20">
        <v>50</v>
      </c>
      <c r="G23" s="4" t="s">
        <v>46</v>
      </c>
    </row>
    <row r="24" spans="1:14" ht="15.6" x14ac:dyDescent="0.35">
      <c r="A24" s="27"/>
      <c r="B24" s="27"/>
      <c r="C24" s="27"/>
      <c r="E24" s="3" t="s">
        <v>50</v>
      </c>
      <c r="F24" s="20">
        <v>0.3</v>
      </c>
      <c r="G24" s="4"/>
    </row>
    <row r="25" spans="1:14" ht="15.6" x14ac:dyDescent="0.35">
      <c r="E25" s="9" t="s">
        <v>52</v>
      </c>
      <c r="F25" s="20">
        <v>0.01</v>
      </c>
      <c r="G25" s="4"/>
    </row>
    <row r="26" spans="1:14" ht="16.2" thickBot="1" x14ac:dyDescent="0.4">
      <c r="E26" s="5" t="s">
        <v>53</v>
      </c>
      <c r="F26" s="21">
        <f>F24*F20</f>
        <v>2.4</v>
      </c>
      <c r="G26" s="7" t="s">
        <v>28</v>
      </c>
    </row>
  </sheetData>
  <mergeCells count="7">
    <mergeCell ref="M1:O1"/>
    <mergeCell ref="I1:K1"/>
    <mergeCell ref="E13:G13"/>
    <mergeCell ref="A24:C24"/>
    <mergeCell ref="A13:C13"/>
    <mergeCell ref="A1:C1"/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E89F-592A-437D-9440-200F7F48CEED}">
  <dimension ref="A1:P26"/>
  <sheetViews>
    <sheetView tabSelected="1" zoomScale="74" zoomScaleNormal="70" workbookViewId="0">
      <selection activeCell="L25" sqref="L25"/>
    </sheetView>
  </sheetViews>
  <sheetFormatPr defaultRowHeight="14.4" x14ac:dyDescent="0.3"/>
  <cols>
    <col min="1" max="1" width="18.5546875" bestFit="1" customWidth="1"/>
    <col min="2" max="2" width="9.33203125" bestFit="1" customWidth="1"/>
    <col min="3" max="3" width="3.109375" bestFit="1" customWidth="1"/>
    <col min="6" max="6" width="12" customWidth="1"/>
    <col min="7" max="7" width="4.109375" bestFit="1" customWidth="1"/>
    <col min="11" max="11" width="2.6640625" bestFit="1" customWidth="1"/>
    <col min="14" max="14" width="12" bestFit="1" customWidth="1"/>
    <col min="16" max="16" width="6.88671875" customWidth="1"/>
  </cols>
  <sheetData>
    <row r="1" spans="1:16" ht="15" thickBot="1" x14ac:dyDescent="0.35">
      <c r="A1" s="28" t="s">
        <v>15</v>
      </c>
      <c r="B1" s="29"/>
      <c r="C1" s="30"/>
      <c r="E1" s="24" t="s">
        <v>42</v>
      </c>
      <c r="F1" s="25"/>
      <c r="G1" s="26"/>
      <c r="I1" s="24" t="s">
        <v>43</v>
      </c>
      <c r="J1" s="25"/>
      <c r="K1" s="26"/>
      <c r="M1" s="24" t="s">
        <v>44</v>
      </c>
      <c r="N1" s="25"/>
      <c r="O1" s="26"/>
    </row>
    <row r="2" spans="1:16" ht="15.6" x14ac:dyDescent="0.35">
      <c r="A2" s="3" t="s">
        <v>0</v>
      </c>
      <c r="B2">
        <v>1</v>
      </c>
      <c r="C2" s="4" t="s">
        <v>2</v>
      </c>
      <c r="E2" s="3" t="s">
        <v>21</v>
      </c>
      <c r="F2" s="12">
        <f>F4/SQRT(2)</f>
        <v>20.85965004500315</v>
      </c>
      <c r="G2" s="4" t="s">
        <v>7</v>
      </c>
      <c r="I2" s="3" t="s">
        <v>24</v>
      </c>
      <c r="J2" s="12">
        <f>F4</f>
        <v>29.5</v>
      </c>
      <c r="K2" s="4" t="s">
        <v>7</v>
      </c>
      <c r="M2" s="3" t="s">
        <v>57</v>
      </c>
      <c r="N2">
        <f>((F17*(1-(F17/F15)))/(F26*F23*10^3))</f>
        <v>1.0479837762051774E-4</v>
      </c>
      <c r="O2" s="4" t="s">
        <v>48</v>
      </c>
    </row>
    <row r="3" spans="1:16" ht="15.6" x14ac:dyDescent="0.35">
      <c r="A3" s="3" t="s">
        <v>1</v>
      </c>
      <c r="B3">
        <v>8</v>
      </c>
      <c r="C3" s="4" t="s">
        <v>3</v>
      </c>
      <c r="E3" s="3" t="s">
        <v>20</v>
      </c>
      <c r="F3" s="12">
        <v>110</v>
      </c>
      <c r="G3" s="4" t="s">
        <v>7</v>
      </c>
      <c r="I3" s="3" t="s">
        <v>25</v>
      </c>
      <c r="J3" s="12">
        <f>F5</f>
        <v>155.56349186104046</v>
      </c>
      <c r="K3" s="4" t="s">
        <v>7</v>
      </c>
      <c r="M3" s="16" t="s">
        <v>58</v>
      </c>
      <c r="N3" s="17">
        <f>((1-(F18))/(8*'24V analysis'!N2*F25*(F23*10^3)^2))</f>
        <v>2.4465451513893508E-5</v>
      </c>
      <c r="O3" s="18" t="s">
        <v>56</v>
      </c>
      <c r="P3" t="s">
        <v>60</v>
      </c>
    </row>
    <row r="4" spans="1:16" ht="15.6" x14ac:dyDescent="0.35">
      <c r="A4" s="3" t="s">
        <v>5</v>
      </c>
      <c r="B4">
        <f>B2*B3</f>
        <v>8</v>
      </c>
      <c r="C4" s="4" t="s">
        <v>4</v>
      </c>
      <c r="E4" s="3" t="s">
        <v>18</v>
      </c>
      <c r="F4" s="12">
        <v>29.5</v>
      </c>
      <c r="G4" s="4" t="s">
        <v>7</v>
      </c>
      <c r="I4" s="3" t="s">
        <v>33</v>
      </c>
      <c r="J4" s="12">
        <f>B18</f>
        <v>92.415999999999997</v>
      </c>
      <c r="K4" s="4" t="s">
        <v>14</v>
      </c>
    </row>
    <row r="5" spans="1:16" ht="15.6" x14ac:dyDescent="0.35">
      <c r="A5" s="3" t="s">
        <v>63</v>
      </c>
      <c r="B5">
        <v>2.8879999999999999</v>
      </c>
      <c r="C5" s="4" t="s">
        <v>7</v>
      </c>
      <c r="E5" s="3" t="s">
        <v>19</v>
      </c>
      <c r="F5" s="12">
        <f>SQRT(2)*F3</f>
        <v>155.56349186104046</v>
      </c>
      <c r="G5" s="4" t="s">
        <v>7</v>
      </c>
      <c r="I5" s="3" t="s">
        <v>34</v>
      </c>
      <c r="J5" s="12">
        <f>B19</f>
        <v>110.4</v>
      </c>
      <c r="K5" s="4" t="s">
        <v>14</v>
      </c>
    </row>
    <row r="6" spans="1:16" ht="15.6" x14ac:dyDescent="0.35">
      <c r="A6" s="3" t="s">
        <v>62</v>
      </c>
      <c r="B6">
        <v>3.45</v>
      </c>
      <c r="C6" s="4" t="s">
        <v>7</v>
      </c>
      <c r="E6" s="3" t="s">
        <v>39</v>
      </c>
      <c r="F6" s="12">
        <f>SQRT(2/3)*J6</f>
        <v>0.48505820434025859</v>
      </c>
      <c r="G6" s="4" t="s">
        <v>28</v>
      </c>
      <c r="I6" s="3" t="s">
        <v>37</v>
      </c>
      <c r="J6" s="12">
        <f>F21</f>
        <v>0.59407254809214516</v>
      </c>
      <c r="K6" s="4" t="s">
        <v>28</v>
      </c>
    </row>
    <row r="7" spans="1:16" ht="16.2" thickBot="1" x14ac:dyDescent="0.4">
      <c r="A7" s="3" t="s">
        <v>11</v>
      </c>
      <c r="B7" s="20">
        <v>7.6E-3</v>
      </c>
      <c r="C7" s="8" t="s">
        <v>13</v>
      </c>
      <c r="E7" s="3" t="s">
        <v>40</v>
      </c>
      <c r="F7" s="12">
        <f>SQRT(2/3)*J7</f>
        <v>3.0556346621837611</v>
      </c>
      <c r="G7" s="4" t="s">
        <v>28</v>
      </c>
      <c r="I7" s="5" t="s">
        <v>38</v>
      </c>
      <c r="J7" s="13">
        <f>F22</f>
        <v>3.7423728813559323</v>
      </c>
      <c r="K7" s="7" t="s">
        <v>28</v>
      </c>
      <c r="M7" t="s">
        <v>59</v>
      </c>
    </row>
    <row r="8" spans="1:16" ht="16.2" thickBot="1" x14ac:dyDescent="0.4">
      <c r="A8" s="5" t="s">
        <v>12</v>
      </c>
      <c r="B8" s="21">
        <v>1.1650000000000001E-2</v>
      </c>
      <c r="C8" s="7" t="s">
        <v>13</v>
      </c>
      <c r="E8" s="3" t="s">
        <v>9</v>
      </c>
      <c r="F8" s="12">
        <f>SQRT(3)*F6*F3</f>
        <v>92.415999999999968</v>
      </c>
      <c r="G8" s="4" t="s">
        <v>41</v>
      </c>
    </row>
    <row r="9" spans="1:16" ht="16.2" thickBot="1" x14ac:dyDescent="0.4">
      <c r="E9" s="5" t="s">
        <v>10</v>
      </c>
      <c r="F9" s="13">
        <f>SQRT(3)*F2*F7</f>
        <v>110.39999999999998</v>
      </c>
      <c r="G9" s="7" t="s">
        <v>41</v>
      </c>
      <c r="H9" s="11"/>
    </row>
    <row r="12" spans="1:16" ht="15" thickBot="1" x14ac:dyDescent="0.35"/>
    <row r="13" spans="1:16" ht="15" thickBot="1" x14ac:dyDescent="0.35">
      <c r="A13" s="28" t="s">
        <v>17</v>
      </c>
      <c r="B13" s="29"/>
      <c r="C13" s="30"/>
      <c r="E13" s="24" t="s">
        <v>55</v>
      </c>
      <c r="F13" s="25"/>
      <c r="G13" s="26"/>
    </row>
    <row r="14" spans="1:16" ht="15.6" x14ac:dyDescent="0.35">
      <c r="A14" s="1" t="s">
        <v>6</v>
      </c>
      <c r="B14" s="22">
        <v>12</v>
      </c>
      <c r="C14" s="2" t="s">
        <v>7</v>
      </c>
      <c r="E14" s="3" t="s">
        <v>22</v>
      </c>
      <c r="F14" s="12">
        <f>J2</f>
        <v>29.5</v>
      </c>
      <c r="G14" s="4" t="s">
        <v>7</v>
      </c>
      <c r="H14" t="s">
        <v>61</v>
      </c>
    </row>
    <row r="15" spans="1:16" ht="15.6" x14ac:dyDescent="0.35">
      <c r="A15" s="3" t="s">
        <v>8</v>
      </c>
      <c r="B15" s="20">
        <v>4</v>
      </c>
      <c r="C15" s="4"/>
      <c r="E15" s="3" t="s">
        <v>23</v>
      </c>
      <c r="F15" s="12">
        <f>J3</f>
        <v>155.56349186104046</v>
      </c>
      <c r="G15" s="4" t="s">
        <v>7</v>
      </c>
    </row>
    <row r="16" spans="1:16" ht="15.6" x14ac:dyDescent="0.35">
      <c r="A16" s="3" t="s">
        <v>63</v>
      </c>
      <c r="B16" s="20">
        <f>B5*B15</f>
        <v>11.552</v>
      </c>
      <c r="C16" s="4" t="s">
        <v>7</v>
      </c>
      <c r="E16" s="3" t="s">
        <v>24</v>
      </c>
      <c r="F16" s="12">
        <f>B16</f>
        <v>11.552</v>
      </c>
      <c r="G16" s="4" t="s">
        <v>7</v>
      </c>
    </row>
    <row r="17" spans="1:7" ht="15.6" x14ac:dyDescent="0.35">
      <c r="A17" s="3" t="s">
        <v>62</v>
      </c>
      <c r="B17" s="20">
        <f>B6*B15</f>
        <v>13.8</v>
      </c>
      <c r="C17" s="4" t="s">
        <v>7</v>
      </c>
      <c r="E17" s="3" t="s">
        <v>25</v>
      </c>
      <c r="F17" s="12">
        <f>B17</f>
        <v>13.8</v>
      </c>
      <c r="G17" s="4" t="s">
        <v>7</v>
      </c>
    </row>
    <row r="18" spans="1:7" ht="15.6" x14ac:dyDescent="0.35">
      <c r="A18" s="3" t="s">
        <v>9</v>
      </c>
      <c r="B18" s="20">
        <f>B16*B4</f>
        <v>92.415999999999997</v>
      </c>
      <c r="C18" s="4" t="s">
        <v>14</v>
      </c>
      <c r="E18" s="3" t="s">
        <v>26</v>
      </c>
      <c r="F18" s="12">
        <f>F16/J3</f>
        <v>7.4259068511518145E-2</v>
      </c>
      <c r="G18" s="4"/>
    </row>
    <row r="19" spans="1:7" ht="15.6" x14ac:dyDescent="0.35">
      <c r="A19" s="3" t="s">
        <v>10</v>
      </c>
      <c r="B19" s="20">
        <f>B17*B4</f>
        <v>110.4</v>
      </c>
      <c r="C19" s="4" t="s">
        <v>14</v>
      </c>
      <c r="E19" s="3" t="s">
        <v>32</v>
      </c>
      <c r="F19" s="12">
        <f>F17/J2</f>
        <v>0.46779661016949153</v>
      </c>
      <c r="G19" s="4"/>
    </row>
    <row r="20" spans="1:7" ht="15.6" x14ac:dyDescent="0.35">
      <c r="A20" s="3" t="s">
        <v>11</v>
      </c>
      <c r="B20" s="20">
        <f>B15*B7</f>
        <v>3.04E-2</v>
      </c>
      <c r="C20" s="8" t="s">
        <v>13</v>
      </c>
      <c r="E20" s="3" t="s">
        <v>27</v>
      </c>
      <c r="F20" s="12">
        <f>B3</f>
        <v>8</v>
      </c>
      <c r="G20" s="4" t="s">
        <v>28</v>
      </c>
    </row>
    <row r="21" spans="1:7" ht="16.2" thickBot="1" x14ac:dyDescent="0.4">
      <c r="A21" s="5" t="s">
        <v>12</v>
      </c>
      <c r="B21" s="21">
        <f>B15*B8</f>
        <v>4.6600000000000003E-2</v>
      </c>
      <c r="C21" s="7" t="s">
        <v>13</v>
      </c>
      <c r="E21" s="3" t="s">
        <v>35</v>
      </c>
      <c r="F21" s="12">
        <f>F18*F20</f>
        <v>0.59407254809214516</v>
      </c>
      <c r="G21" s="4" t="s">
        <v>28</v>
      </c>
    </row>
    <row r="22" spans="1:7" ht="15.6" x14ac:dyDescent="0.35">
      <c r="E22" s="3" t="s">
        <v>36</v>
      </c>
      <c r="F22" s="12">
        <f>F19*F20</f>
        <v>3.7423728813559323</v>
      </c>
      <c r="G22" s="4" t="s">
        <v>28</v>
      </c>
    </row>
    <row r="23" spans="1:7" x14ac:dyDescent="0.3">
      <c r="E23" s="3" t="s">
        <v>45</v>
      </c>
      <c r="F23" s="12">
        <v>50</v>
      </c>
      <c r="G23" s="4" t="s">
        <v>46</v>
      </c>
    </row>
    <row r="24" spans="1:7" ht="15.6" x14ac:dyDescent="0.35">
      <c r="A24" s="27"/>
      <c r="B24" s="27"/>
      <c r="C24" s="27"/>
      <c r="E24" s="3" t="s">
        <v>50</v>
      </c>
      <c r="F24" s="12">
        <v>0.3</v>
      </c>
      <c r="G24" s="4"/>
    </row>
    <row r="25" spans="1:7" ht="15.6" x14ac:dyDescent="0.35">
      <c r="E25" s="3" t="s">
        <v>49</v>
      </c>
      <c r="F25" s="12">
        <v>0.01</v>
      </c>
      <c r="G25" s="4"/>
    </row>
    <row r="26" spans="1:7" ht="16.2" thickBot="1" x14ac:dyDescent="0.4">
      <c r="E26" s="23" t="s">
        <v>51</v>
      </c>
      <c r="F26" s="13">
        <f>F24*F20</f>
        <v>2.4</v>
      </c>
      <c r="G26" s="7" t="s">
        <v>28</v>
      </c>
    </row>
  </sheetData>
  <mergeCells count="7">
    <mergeCell ref="M1:O1"/>
    <mergeCell ref="A24:C24"/>
    <mergeCell ref="A1:C1"/>
    <mergeCell ref="E1:G1"/>
    <mergeCell ref="I1:K1"/>
    <mergeCell ref="A13:C13"/>
    <mergeCell ref="E13:G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b6129a-f613-4ff9-b238-21504ab3c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60838691862E40BA8A9FCF4672D404" ma:contentTypeVersion="8" ma:contentTypeDescription="Create a new document." ma:contentTypeScope="" ma:versionID="57f0f8c66996a8cfd8079b5f5cbc1044">
  <xsd:schema xmlns:xsd="http://www.w3.org/2001/XMLSchema" xmlns:xs="http://www.w3.org/2001/XMLSchema" xmlns:p="http://schemas.microsoft.com/office/2006/metadata/properties" xmlns:ns3="77b6129a-f613-4ff9-b238-21504ab3c311" xmlns:ns4="e5775723-78a2-49b3-980c-6ad0b4b03e58" targetNamespace="http://schemas.microsoft.com/office/2006/metadata/properties" ma:root="true" ma:fieldsID="97be24bc9c367c471a14e5d43da4af43" ns3:_="" ns4:_="">
    <xsd:import namespace="77b6129a-f613-4ff9-b238-21504ab3c311"/>
    <xsd:import namespace="e5775723-78a2-49b3-980c-6ad0b4b03e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6129a-f613-4ff9-b238-21504ab3c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723-78a2-49b3-980c-6ad0b4b03e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69E919-C42D-4F67-B937-7A9547F935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BC3A52-AD3A-43AE-8534-9D4612682E08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e5775723-78a2-49b3-980c-6ad0b4b03e58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7b6129a-f613-4ff9-b238-21504ab3c31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510E196-854A-4018-94EA-77433BC9C3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6129a-f613-4ff9-b238-21504ab3c311"/>
    <ds:schemaRef ds:uri="e5775723-78a2-49b3-980c-6ad0b4b03e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24V analysis</vt:lpstr>
      <vt:lpstr>12V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Sgroi, Zano</dc:creator>
  <cp:lastModifiedBy>Sgroi, Zano</cp:lastModifiedBy>
  <dcterms:created xsi:type="dcterms:W3CDTF">2026-06-09T02:45:35Z</dcterms:created>
  <dcterms:modified xsi:type="dcterms:W3CDTF">2026-09-25T16:50:57Z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0x0101009660838691862E40BA8A9FCF4672D404</vt:lpwstr>
  </property>
</Properties>
</file>