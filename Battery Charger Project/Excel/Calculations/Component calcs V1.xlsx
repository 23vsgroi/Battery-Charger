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azano\Acedemic\Research\Battery Charger Project\"/>
    </mc:Choice>
  </mc:AlternateContent>
  <xr:revisionPtr revIDLastSave="0" documentId="8_{8234F7AE-30DE-4E55-BAA9-BF99B6086DC5}" xr6:coauthVersionLast="47" xr6:coauthVersionMax="47" xr10:uidLastSave="{00000000-0000-0000-0000-000000000000}"/>
  <bookViews>
    <workbookView xWindow="-108" yWindow="-108" windowWidth="23256" windowHeight="12456" xr2:uid="{8EA801AC-1218-4C2A-8BFC-BC5B39F04A2A}"/>
  </bookViews>
  <sheets>
    <sheet name="24V analysis" sheetId="1" r:id="rId1"/>
    <sheet name="12V analysi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4" i="1"/>
  <c r="F28" i="1"/>
  <c r="N2" i="2"/>
  <c r="F5" i="1"/>
  <c r="J3" i="1" s="1"/>
  <c r="F26" i="1"/>
  <c r="F26" i="2"/>
  <c r="F22" i="2"/>
  <c r="J7" i="2" s="1"/>
  <c r="F7" i="2" s="1"/>
  <c r="B17" i="2"/>
  <c r="B16" i="2"/>
  <c r="F5" i="2"/>
  <c r="J3" i="2" s="1"/>
  <c r="F15" i="2" s="1"/>
  <c r="B4" i="2"/>
  <c r="F22" i="1"/>
  <c r="J7" i="1" s="1"/>
  <c r="B17" i="1"/>
  <c r="F17" i="1" s="1"/>
  <c r="J2" i="1" s="1"/>
  <c r="F4" i="1" s="1"/>
  <c r="F2" i="1" s="1"/>
  <c r="B16" i="1"/>
  <c r="F16" i="1" s="1"/>
  <c r="F14" i="1" l="1"/>
  <c r="N3" i="1" s="1"/>
  <c r="B18" i="2"/>
  <c r="J4" i="2" s="1"/>
  <c r="F27" i="1"/>
  <c r="B21" i="2"/>
  <c r="B19" i="2"/>
  <c r="J5" i="2" s="1"/>
  <c r="B20" i="2"/>
  <c r="F16" i="2"/>
  <c r="F17" i="2"/>
  <c r="F27" i="2" s="1"/>
  <c r="F18" i="1"/>
  <c r="F15" i="1"/>
  <c r="N2" i="1" s="1"/>
  <c r="F7" i="1"/>
  <c r="B18" i="1"/>
  <c r="J4" i="1" s="1"/>
  <c r="B19" i="1"/>
  <c r="J5" i="1" s="1"/>
  <c r="B21" i="1"/>
  <c r="N5" i="1" l="1"/>
  <c r="N6" i="1"/>
  <c r="N5" i="2" s="1"/>
  <c r="N4" i="1"/>
  <c r="F21" i="1"/>
  <c r="J6" i="1" s="1"/>
  <c r="F6" i="1" s="1"/>
  <c r="F8" i="1" s="1"/>
  <c r="J2" i="2"/>
  <c r="F4" i="2" s="1"/>
  <c r="F2" i="2" s="1"/>
  <c r="F18" i="2"/>
  <c r="F9" i="1"/>
  <c r="F9" i="2" l="1"/>
  <c r="F21" i="2"/>
  <c r="J6" i="2" s="1"/>
  <c r="F6" i="2" s="1"/>
  <c r="F8" i="2" s="1"/>
  <c r="N4" i="2"/>
  <c r="F14" i="2"/>
  <c r="N3" i="2" l="1"/>
</calcChain>
</file>

<file path=xl/sharedStrings.xml><?xml version="1.0" encoding="utf-8"?>
<sst xmlns="http://schemas.openxmlformats.org/spreadsheetml/2006/main" count="186" uniqueCount="65">
  <si>
    <t>C-rate</t>
  </si>
  <si>
    <t>Battery capacity</t>
  </si>
  <si>
    <t>C</t>
  </si>
  <si>
    <t>Ah</t>
  </si>
  <si>
    <t xml:space="preserve">A </t>
  </si>
  <si>
    <r>
      <t>I</t>
    </r>
    <r>
      <rPr>
        <vertAlign val="subscript"/>
        <sz val="11"/>
        <color theme="1"/>
        <rFont val="Aptos Narrow"/>
        <family val="2"/>
        <scheme val="minor"/>
      </rPr>
      <t>charge</t>
    </r>
  </si>
  <si>
    <t xml:space="preserve">Nominal pack voltage </t>
  </si>
  <si>
    <t>V</t>
  </si>
  <si>
    <r>
      <t>V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</si>
  <si>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max</t>
    </r>
  </si>
  <si>
    <t>Cells</t>
  </si>
  <si>
    <r>
      <t>P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</si>
  <si>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</si>
  <si>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</si>
  <si>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max</t>
    </r>
  </si>
  <si>
    <t>Ω</t>
  </si>
  <si>
    <t>W</t>
  </si>
  <si>
    <t>Battery cell</t>
  </si>
  <si>
    <t>24V battery pack</t>
  </si>
  <si>
    <t>12V battery pack</t>
  </si>
  <si>
    <r>
      <t>V</t>
    </r>
    <r>
      <rPr>
        <vertAlign val="subscript"/>
        <sz val="11"/>
        <color theme="1"/>
        <rFont val="Aptos Narrow"/>
        <family val="2"/>
        <scheme val="minor"/>
      </rPr>
      <t>L-L,min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</si>
  <si>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</si>
  <si>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L-L,RMS,max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</si>
  <si>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L-L,RMS,min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</si>
  <si>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</si>
  <si>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</si>
  <si>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</si>
  <si>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</si>
  <si>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</si>
  <si>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</t>
    </r>
  </si>
  <si>
    <t>A</t>
  </si>
  <si>
    <t>Generator (24V)</t>
  </si>
  <si>
    <t>Buck (24V)</t>
  </si>
  <si>
    <t>Rectifier (24V)</t>
  </si>
  <si>
    <r>
      <t>D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</si>
  <si>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</si>
  <si>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</si>
  <si>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</si>
  <si>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</si>
  <si>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</si>
  <si>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</si>
  <si>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s,RMS,min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</si>
  <si>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s,RMS,max</t>
    </r>
  </si>
  <si>
    <t>VA</t>
  </si>
  <si>
    <t>Generator (12V)</t>
  </si>
  <si>
    <t>Rectifier (12V)</t>
  </si>
  <si>
    <t>Buck components</t>
  </si>
  <si>
    <t>f</t>
  </si>
  <si>
    <t>kHz</t>
  </si>
  <si>
    <r>
      <t>L</t>
    </r>
    <r>
      <rPr>
        <vertAlign val="subscript"/>
        <sz val="11"/>
        <color theme="1"/>
        <rFont val="Aptos Narrow"/>
        <family val="2"/>
        <scheme val="minor"/>
      </rPr>
      <t>max</t>
    </r>
  </si>
  <si>
    <t>H</t>
  </si>
  <si>
    <r>
      <t>L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</si>
  <si>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CCM,th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</si>
  <si>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R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</si>
  <si>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CR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</si>
  <si>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Δi</t>
    </r>
    <r>
      <rPr>
        <vertAlign val="subscript"/>
        <sz val="11"/>
        <color theme="1"/>
        <rFont val="Calibri"/>
        <family val="2"/>
      </rPr>
      <t>L,max</t>
    </r>
  </si>
  <si>
    <r>
      <t>ΔV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</si>
  <si>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V</t>
    </r>
    <r>
      <rPr>
        <vertAlign val="sub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R</t>
    </r>
    <r>
      <rPr>
        <vertAlign val="subscript"/>
        <sz val="11"/>
        <color theme="1"/>
        <rFont val="Calibri"/>
        <family val="2"/>
      </rPr>
      <t xml:space="preserve">max  </t>
    </r>
  </si>
  <si>
    <r>
      <t>Δi</t>
    </r>
    <r>
      <rPr>
        <vertAlign val="subscript"/>
        <sz val="11"/>
        <color theme="1"/>
        <rFont val="Aptos Narrow"/>
        <family val="2"/>
        <scheme val="minor"/>
      </rPr>
      <t>L,max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</si>
  <si>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ccm,th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</si>
  <si>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max</t>
    </r>
  </si>
  <si>
    <t>Buck (12V)</t>
  </si>
  <si>
    <t>F</t>
  </si>
  <si>
    <r>
      <t>I</t>
    </r>
    <r>
      <rPr>
        <vertAlign val="subscript"/>
        <sz val="11"/>
        <color theme="1"/>
        <rFont val="Aptos Narrow"/>
        <family val="2"/>
        <scheme val="minor"/>
      </rPr>
      <t>L,RMS</t>
    </r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</si>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</sst>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0" fontId="2" fillId="0" borderId="4" xfId="0" applyFont="1" applyBorder="1"/>
    <xf numFmtId="11" fontId="0" fillId="0" borderId="0" xfId="0" applyNumberFormat="1"/>
    <xf numFmtId="0" fontId="0" fillId="0" borderId="0" xfId="0" quotePrefix="1"/>
    <xf numFmtId="2" fontId="0" fillId="0" borderId="0" xfId="0" applyNumberFormat="1"/>
    <xf numFmtId="2" fontId="0" fillId="0" borderId="7" xfId="0" applyNumberFormat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43F6-C991-4FED-A486-EADAA5F16055}">
  <dimension ref="A1:R28"/>
  <sheetViews>
    <sheetView tabSelected="1" zoomScale="70" zoomScaleNormal="70" workbookViewId="0">
      <selection activeCell="E34" sqref="E34"/>
    </sheetView>
  </sheetViews>
  <sheetFormatPr defaultRowHeight="14.4" x14ac:dyDescent="0.3"/>
  <cols>
    <col min="1" max="1" width="20.88671875" bestFit="1" customWidth="1"/>
    <col min="3" max="3" width="3.33203125" bestFit="1" customWidth="1"/>
    <col min="6" max="6" width="11.33203125" bestFit="1" customWidth="1"/>
    <col min="7" max="7" width="4.33203125" bestFit="1" customWidth="1"/>
    <col min="10" max="10" width="7.109375" bestFit="1" customWidth="1"/>
    <col min="11" max="11" width="2.6640625" bestFit="1" customWidth="1"/>
    <col min="12" max="12" width="12.33203125" bestFit="1" customWidth="1"/>
    <col min="14" max="14" width="11.109375" customWidth="1"/>
    <col min="17" max="17" width="13" bestFit="1" customWidth="1"/>
  </cols>
  <sheetData>
    <row r="1" spans="1:18" ht="15" thickBot="1" x14ac:dyDescent="0.35">
      <c r="A1" s="22" t="s">
        <v>17</v>
      </c>
      <c r="B1" s="23"/>
      <c r="C1" s="24"/>
      <c r="E1" s="18" t="s">
        <v>31</v>
      </c>
      <c r="F1" s="19"/>
      <c r="G1" s="20"/>
      <c r="I1" s="18" t="s">
        <v>33</v>
      </c>
      <c r="J1" s="19"/>
      <c r="K1" s="20"/>
      <c r="M1" s="18" t="s">
        <v>46</v>
      </c>
      <c r="N1" s="19"/>
      <c r="O1" s="20"/>
    </row>
    <row r="2" spans="1:18" ht="15.6" x14ac:dyDescent="0.35">
      <c r="A2" s="4" t="s">
        <v>0</v>
      </c>
      <c r="B2">
        <v>3</v>
      </c>
      <c r="C2" s="5" t="s">
        <v>2</v>
      </c>
      <c r="E2" s="4" t="s">
        <v>23</v>
      </c>
      <c r="F2" s="13">
        <f>F4/SQRT(2)</f>
        <v>24.024478110041532</v>
      </c>
      <c r="G2" s="5" t="s">
        <v>7</v>
      </c>
      <c r="I2" s="4" t="s">
        <v>26</v>
      </c>
      <c r="J2" s="13">
        <f>F17/F19</f>
        <v>32.444444444444443</v>
      </c>
      <c r="K2" s="5" t="s">
        <v>7</v>
      </c>
      <c r="M2" s="15" t="s">
        <v>49</v>
      </c>
      <c r="N2" s="17">
        <f>((F17*(1-(F17/F15)))/(F26*F23*10^3))</f>
        <v>6.5167593819901747E-6</v>
      </c>
      <c r="O2" s="16" t="s">
        <v>50</v>
      </c>
    </row>
    <row r="3" spans="1:18" ht="15.6" x14ac:dyDescent="0.35">
      <c r="A3" s="4" t="s">
        <v>1</v>
      </c>
      <c r="B3">
        <v>8</v>
      </c>
      <c r="C3" s="5" t="s">
        <v>3</v>
      </c>
      <c r="E3" s="4" t="s">
        <v>22</v>
      </c>
      <c r="F3" s="13">
        <v>110</v>
      </c>
      <c r="G3" s="5" t="s">
        <v>7</v>
      </c>
      <c r="I3" s="4" t="s">
        <v>27</v>
      </c>
      <c r="J3" s="13">
        <f>((3/PI())*F5)</f>
        <v>148.55219216592252</v>
      </c>
      <c r="K3" s="5" t="s">
        <v>7</v>
      </c>
      <c r="M3" s="4" t="s">
        <v>51</v>
      </c>
      <c r="N3">
        <f>((F19*F14)*(1-F19))/(F26*F23*10^3)</f>
        <v>8.1111111111111105E-7</v>
      </c>
      <c r="O3" s="5" t="s">
        <v>50</v>
      </c>
    </row>
    <row r="4" spans="1:18" ht="15.6" x14ac:dyDescent="0.35">
      <c r="A4" s="4" t="s">
        <v>5</v>
      </c>
      <c r="B4">
        <f>B2*B3</f>
        <v>24</v>
      </c>
      <c r="C4" s="5" t="s">
        <v>4</v>
      </c>
      <c r="E4" s="4" t="s">
        <v>20</v>
      </c>
      <c r="F4" s="13">
        <f>((PI()/3)*J2)</f>
        <v>33.975742772156281</v>
      </c>
      <c r="G4" s="5" t="s">
        <v>7</v>
      </c>
      <c r="I4" s="4" t="s">
        <v>35</v>
      </c>
      <c r="J4" s="13">
        <f>B18</f>
        <v>480</v>
      </c>
      <c r="K4" s="5" t="s">
        <v>16</v>
      </c>
      <c r="M4" s="4" t="s">
        <v>59</v>
      </c>
      <c r="N4">
        <f>(((1-F18)*B20)/(2*F23*10^3))</f>
        <v>7.2113931974347563E-7</v>
      </c>
      <c r="O4" s="5" t="s">
        <v>50</v>
      </c>
    </row>
    <row r="5" spans="1:18" ht="15.6" x14ac:dyDescent="0.35">
      <c r="A5" s="4" t="s">
        <v>8</v>
      </c>
      <c r="B5">
        <v>2.5</v>
      </c>
      <c r="C5" s="5" t="s">
        <v>7</v>
      </c>
      <c r="E5" s="4" t="s">
        <v>21</v>
      </c>
      <c r="F5" s="13">
        <f>SQRT(2)*F3</f>
        <v>155.56349186104046</v>
      </c>
      <c r="G5" s="5" t="s">
        <v>7</v>
      </c>
      <c r="I5" s="4" t="s">
        <v>36</v>
      </c>
      <c r="J5" s="13">
        <f>B19</f>
        <v>700.8</v>
      </c>
      <c r="K5" s="5" t="s">
        <v>16</v>
      </c>
      <c r="M5" s="4" t="s">
        <v>60</v>
      </c>
      <c r="N5">
        <f>((1-('12V analysis'!F18))/(8*N2*F25*(F23*10^3)^2))</f>
        <v>7.1560382789616669E-6</v>
      </c>
      <c r="O5" s="5" t="s">
        <v>62</v>
      </c>
      <c r="R5" s="11"/>
    </row>
    <row r="6" spans="1:18" ht="16.2" thickBot="1" x14ac:dyDescent="0.4">
      <c r="A6" s="6" t="s">
        <v>9</v>
      </c>
      <c r="B6" s="7">
        <v>3.65</v>
      </c>
      <c r="C6" s="8" t="s">
        <v>7</v>
      </c>
      <c r="E6" s="4" t="s">
        <v>41</v>
      </c>
      <c r="F6" s="13">
        <f>SQRT(2/3)*J6</f>
        <v>2.6382536207043161</v>
      </c>
      <c r="G6" s="5" t="s">
        <v>30</v>
      </c>
      <c r="I6" s="4" t="s">
        <v>39</v>
      </c>
      <c r="J6" s="13">
        <f>F21</f>
        <v>3.231187591387902</v>
      </c>
      <c r="K6" s="5" t="s">
        <v>30</v>
      </c>
      <c r="M6" s="6" t="s">
        <v>64</v>
      </c>
      <c r="N6" s="7">
        <f>N2</f>
        <v>6.5167593819901747E-6</v>
      </c>
      <c r="O6" s="8" t="s">
        <v>50</v>
      </c>
    </row>
    <row r="7" spans="1:18" ht="16.2" thickBot="1" x14ac:dyDescent="0.4">
      <c r="E7" s="4" t="s">
        <v>42</v>
      </c>
      <c r="F7" s="13">
        <f>SQRT(2/3)*J7</f>
        <v>17.636326148038883</v>
      </c>
      <c r="G7" s="5" t="s">
        <v>30</v>
      </c>
      <c r="I7" s="6" t="s">
        <v>40</v>
      </c>
      <c r="J7" s="14">
        <f>F22</f>
        <v>21.6</v>
      </c>
      <c r="K7" s="8" t="s">
        <v>30</v>
      </c>
    </row>
    <row r="8" spans="1:18" ht="15.6" x14ac:dyDescent="0.35">
      <c r="E8" s="4" t="s">
        <v>11</v>
      </c>
      <c r="F8" s="13">
        <f>SQRT(3)*F6*F3</f>
        <v>502.65482457436673</v>
      </c>
      <c r="G8" s="5" t="s">
        <v>16</v>
      </c>
    </row>
    <row r="9" spans="1:18" ht="16.2" thickBot="1" x14ac:dyDescent="0.4">
      <c r="E9" s="6" t="s">
        <v>12</v>
      </c>
      <c r="F9" s="14">
        <f>SQRT(3)*F2*F7</f>
        <v>733.8760438785755</v>
      </c>
      <c r="G9" s="8" t="s">
        <v>16</v>
      </c>
    </row>
    <row r="10" spans="1:18" x14ac:dyDescent="0.3">
      <c r="M10" s="13"/>
    </row>
    <row r="12" spans="1:18" ht="15" thickBot="1" x14ac:dyDescent="0.35"/>
    <row r="13" spans="1:18" ht="15" thickBot="1" x14ac:dyDescent="0.35">
      <c r="A13" s="22" t="s">
        <v>18</v>
      </c>
      <c r="B13" s="23"/>
      <c r="C13" s="24"/>
      <c r="E13" s="18" t="s">
        <v>32</v>
      </c>
      <c r="F13" s="19"/>
      <c r="G13" s="20"/>
    </row>
    <row r="14" spans="1:18" ht="15.6" x14ac:dyDescent="0.35">
      <c r="A14" s="1" t="s">
        <v>6</v>
      </c>
      <c r="B14" s="2">
        <v>24</v>
      </c>
      <c r="C14" s="3" t="s">
        <v>7</v>
      </c>
      <c r="E14" s="4" t="s">
        <v>24</v>
      </c>
      <c r="F14" s="13">
        <f>J2</f>
        <v>32.444444444444443</v>
      </c>
      <c r="G14" s="5" t="s">
        <v>7</v>
      </c>
    </row>
    <row r="15" spans="1:18" ht="15.6" x14ac:dyDescent="0.35">
      <c r="A15" s="4" t="s">
        <v>10</v>
      </c>
      <c r="B15">
        <v>8</v>
      </c>
      <c r="C15" s="5"/>
      <c r="E15" s="4" t="s">
        <v>25</v>
      </c>
      <c r="F15" s="13">
        <f>J3</f>
        <v>148.55219216592252</v>
      </c>
      <c r="G15" s="5" t="s">
        <v>7</v>
      </c>
    </row>
    <row r="16" spans="1:18" ht="15.6" x14ac:dyDescent="0.35">
      <c r="A16" s="4" t="s">
        <v>8</v>
      </c>
      <c r="B16">
        <f>B5*B15</f>
        <v>20</v>
      </c>
      <c r="C16" s="5" t="s">
        <v>7</v>
      </c>
      <c r="E16" s="4" t="s">
        <v>26</v>
      </c>
      <c r="F16" s="13">
        <f>B16</f>
        <v>20</v>
      </c>
      <c r="G16" s="5" t="s">
        <v>7</v>
      </c>
    </row>
    <row r="17" spans="1:7" ht="15.6" x14ac:dyDescent="0.35">
      <c r="A17" s="4" t="s">
        <v>9</v>
      </c>
      <c r="B17">
        <f>B6*B15</f>
        <v>29.2</v>
      </c>
      <c r="C17" s="5" t="s">
        <v>7</v>
      </c>
      <c r="E17" s="4" t="s">
        <v>27</v>
      </c>
      <c r="F17" s="13">
        <f>B17</f>
        <v>29.2</v>
      </c>
      <c r="G17" s="5" t="s">
        <v>7</v>
      </c>
    </row>
    <row r="18" spans="1:7" ht="15.6" x14ac:dyDescent="0.35">
      <c r="A18" s="4" t="s">
        <v>11</v>
      </c>
      <c r="B18">
        <f>B16*B4</f>
        <v>480</v>
      </c>
      <c r="C18" s="5" t="s">
        <v>16</v>
      </c>
      <c r="E18" s="4" t="s">
        <v>28</v>
      </c>
      <c r="F18" s="13">
        <f>F16/J3</f>
        <v>0.13463281630782925</v>
      </c>
      <c r="G18" s="5"/>
    </row>
    <row r="19" spans="1:7" ht="15.6" x14ac:dyDescent="0.35">
      <c r="A19" s="4" t="s">
        <v>12</v>
      </c>
      <c r="B19">
        <f>B17*B4</f>
        <v>700.8</v>
      </c>
      <c r="C19" s="5" t="s">
        <v>16</v>
      </c>
      <c r="E19" s="4" t="s">
        <v>34</v>
      </c>
      <c r="F19" s="13">
        <v>0.9</v>
      </c>
      <c r="G19" s="5"/>
    </row>
    <row r="20" spans="1:7" ht="15.6" x14ac:dyDescent="0.35">
      <c r="A20" s="4" t="s">
        <v>13</v>
      </c>
      <c r="B20" s="13">
        <f>B16/B4</f>
        <v>0.83333333333333337</v>
      </c>
      <c r="C20" s="9" t="s">
        <v>15</v>
      </c>
      <c r="E20" s="4" t="s">
        <v>29</v>
      </c>
      <c r="F20" s="13">
        <v>24</v>
      </c>
      <c r="G20" s="5" t="s">
        <v>30</v>
      </c>
    </row>
    <row r="21" spans="1:7" ht="16.2" thickBot="1" x14ac:dyDescent="0.4">
      <c r="A21" s="6" t="s">
        <v>14</v>
      </c>
      <c r="B21" s="14">
        <f>B17/B4</f>
        <v>1.2166666666666666</v>
      </c>
      <c r="C21" s="8" t="s">
        <v>15</v>
      </c>
      <c r="E21" s="4" t="s">
        <v>37</v>
      </c>
      <c r="F21" s="13">
        <f>F18*F20</f>
        <v>3.231187591387902</v>
      </c>
      <c r="G21" s="5" t="s">
        <v>30</v>
      </c>
    </row>
    <row r="22" spans="1:7" ht="15.6" x14ac:dyDescent="0.35">
      <c r="E22" s="4" t="s">
        <v>38</v>
      </c>
      <c r="F22" s="13">
        <f>F19*F20</f>
        <v>21.6</v>
      </c>
      <c r="G22" s="5" t="s">
        <v>30</v>
      </c>
    </row>
    <row r="23" spans="1:7" x14ac:dyDescent="0.3">
      <c r="E23" s="4" t="s">
        <v>47</v>
      </c>
      <c r="F23" s="13">
        <v>500</v>
      </c>
      <c r="G23" s="5" t="s">
        <v>48</v>
      </c>
    </row>
    <row r="24" spans="1:7" ht="15.6" x14ac:dyDescent="0.35">
      <c r="A24" s="21"/>
      <c r="B24" s="21"/>
      <c r="C24" s="21"/>
      <c r="E24" s="4" t="s">
        <v>54</v>
      </c>
      <c r="F24" s="13">
        <v>0.3</v>
      </c>
      <c r="G24" s="5"/>
    </row>
    <row r="25" spans="1:7" ht="15.6" x14ac:dyDescent="0.35">
      <c r="E25" s="10" t="s">
        <v>57</v>
      </c>
      <c r="F25" s="13">
        <v>0.01</v>
      </c>
      <c r="G25" s="5"/>
    </row>
    <row r="26" spans="1:7" ht="15.6" x14ac:dyDescent="0.35">
      <c r="E26" s="4" t="s">
        <v>58</v>
      </c>
      <c r="F26" s="13">
        <f>F24*F20</f>
        <v>7.1999999999999993</v>
      </c>
      <c r="G26" s="5" t="s">
        <v>30</v>
      </c>
    </row>
    <row r="27" spans="1:7" ht="15.6" x14ac:dyDescent="0.35">
      <c r="E27" s="4" t="s">
        <v>56</v>
      </c>
      <c r="F27" s="13">
        <f>F25*F17</f>
        <v>0.29199999999999998</v>
      </c>
      <c r="G27" s="5" t="s">
        <v>7</v>
      </c>
    </row>
    <row r="28" spans="1:7" ht="16.2" thickBot="1" x14ac:dyDescent="0.4">
      <c r="E28" s="6" t="s">
        <v>63</v>
      </c>
      <c r="F28" s="7">
        <f>SQRT(((F20^2)+(3.6^2)))</f>
        <v>24.268498099388022</v>
      </c>
      <c r="G28" s="8" t="s">
        <v>30</v>
      </c>
    </row>
  </sheetData>
  <mergeCells count="7">
    <mergeCell ref="M1:O1"/>
    <mergeCell ref="I1:K1"/>
    <mergeCell ref="E13:G13"/>
    <mergeCell ref="A24:C24"/>
    <mergeCell ref="A13:C13"/>
    <mergeCell ref="A1:C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E89F-592A-437D-9440-200F7F48CEED}">
  <dimension ref="A1:O27"/>
  <sheetViews>
    <sheetView zoomScale="70" zoomScaleNormal="70" workbookViewId="0">
      <selection activeCell="M1" sqref="M1:O1"/>
    </sheetView>
  </sheetViews>
  <sheetFormatPr defaultRowHeight="14.4" x14ac:dyDescent="0.3"/>
  <cols>
    <col min="1" max="1" width="18.5546875" bestFit="1" customWidth="1"/>
    <col min="3" max="3" width="3.109375" bestFit="1" customWidth="1"/>
    <col min="6" max="6" width="12" customWidth="1"/>
    <col min="7" max="7" width="4.109375" bestFit="1" customWidth="1"/>
    <col min="11" max="11" width="2.6640625" bestFit="1" customWidth="1"/>
    <col min="14" max="14" width="12" bestFit="1" customWidth="1"/>
  </cols>
  <sheetData>
    <row r="1" spans="1:15" ht="15" thickBot="1" x14ac:dyDescent="0.35">
      <c r="A1" s="22" t="s">
        <v>17</v>
      </c>
      <c r="B1" s="23"/>
      <c r="C1" s="24"/>
      <c r="E1" s="18" t="s">
        <v>44</v>
      </c>
      <c r="F1" s="19"/>
      <c r="G1" s="20"/>
      <c r="I1" s="18" t="s">
        <v>45</v>
      </c>
      <c r="J1" s="19"/>
      <c r="K1" s="20"/>
      <c r="M1" s="18" t="s">
        <v>46</v>
      </c>
      <c r="N1" s="19"/>
      <c r="O1" s="20"/>
    </row>
    <row r="2" spans="1:15" ht="15.6" x14ac:dyDescent="0.35">
      <c r="A2" s="4" t="s">
        <v>0</v>
      </c>
      <c r="B2">
        <v>3</v>
      </c>
      <c r="C2" s="5" t="s">
        <v>2</v>
      </c>
      <c r="E2" s="4" t="s">
        <v>23</v>
      </c>
      <c r="F2" s="13">
        <f>F4/SQRT(2)</f>
        <v>12.012239055020766</v>
      </c>
      <c r="G2" s="5" t="s">
        <v>7</v>
      </c>
      <c r="I2" s="4" t="s">
        <v>26</v>
      </c>
      <c r="J2" s="13">
        <f>F17/F19</f>
        <v>16.222222222222221</v>
      </c>
      <c r="K2" s="5" t="s">
        <v>7</v>
      </c>
      <c r="M2" s="4" t="s">
        <v>49</v>
      </c>
      <c r="N2">
        <f>((F17*(1-(F17/F15)))/(F26*F23*10^3))</f>
        <v>3.6569676232753216E-6</v>
      </c>
      <c r="O2" s="5" t="s">
        <v>50</v>
      </c>
    </row>
    <row r="3" spans="1:15" ht="15.6" x14ac:dyDescent="0.35">
      <c r="A3" s="4" t="s">
        <v>1</v>
      </c>
      <c r="B3">
        <v>8</v>
      </c>
      <c r="C3" s="5" t="s">
        <v>3</v>
      </c>
      <c r="E3" s="4" t="s">
        <v>22</v>
      </c>
      <c r="F3" s="13">
        <v>110</v>
      </c>
      <c r="G3" s="5" t="s">
        <v>7</v>
      </c>
      <c r="I3" s="4" t="s">
        <v>27</v>
      </c>
      <c r="J3" s="13">
        <f>((3/PI())*F5)</f>
        <v>148.55219216592252</v>
      </c>
      <c r="K3" s="5" t="s">
        <v>7</v>
      </c>
      <c r="M3" s="4" t="s">
        <v>51</v>
      </c>
      <c r="N3">
        <f>((F19*F14)*(1-F19))/(F26*F23*10^3)</f>
        <v>4.0555555555555553E-7</v>
      </c>
      <c r="O3" s="5" t="s">
        <v>50</v>
      </c>
    </row>
    <row r="4" spans="1:15" ht="15.6" x14ac:dyDescent="0.35">
      <c r="A4" s="4" t="s">
        <v>5</v>
      </c>
      <c r="B4">
        <f>B2*B3</f>
        <v>24</v>
      </c>
      <c r="C4" s="5" t="s">
        <v>4</v>
      </c>
      <c r="E4" s="4" t="s">
        <v>20</v>
      </c>
      <c r="F4" s="13">
        <f>((PI()/3)*J2)</f>
        <v>16.98787138607814</v>
      </c>
      <c r="G4" s="5" t="s">
        <v>7</v>
      </c>
      <c r="I4" s="4" t="s">
        <v>35</v>
      </c>
      <c r="J4" s="13">
        <f>B18</f>
        <v>240</v>
      </c>
      <c r="K4" s="5" t="s">
        <v>16</v>
      </c>
      <c r="M4" s="4" t="s">
        <v>52</v>
      </c>
      <c r="N4">
        <f>(((1-F18)*B20)/(2*F23*10^3))</f>
        <v>3.8861816326920227E-7</v>
      </c>
      <c r="O4" s="5" t="s">
        <v>50</v>
      </c>
    </row>
    <row r="5" spans="1:15" ht="16.2" thickBot="1" x14ac:dyDescent="0.4">
      <c r="A5" s="4" t="s">
        <v>8</v>
      </c>
      <c r="B5">
        <v>2.5</v>
      </c>
      <c r="C5" s="5" t="s">
        <v>7</v>
      </c>
      <c r="E5" s="4" t="s">
        <v>21</v>
      </c>
      <c r="F5" s="13">
        <f>SQRT(2)*F3</f>
        <v>155.56349186104046</v>
      </c>
      <c r="G5" s="5" t="s">
        <v>7</v>
      </c>
      <c r="I5" s="4" t="s">
        <v>36</v>
      </c>
      <c r="J5" s="13">
        <f>B19</f>
        <v>350.4</v>
      </c>
      <c r="K5" s="5" t="s">
        <v>16</v>
      </c>
      <c r="M5" s="6" t="s">
        <v>64</v>
      </c>
      <c r="N5" s="7">
        <f>'24V analysis'!N6</f>
        <v>6.5167593819901747E-6</v>
      </c>
      <c r="O5" s="8" t="s">
        <v>50</v>
      </c>
    </row>
    <row r="6" spans="1:15" ht="16.2" thickBot="1" x14ac:dyDescent="0.4">
      <c r="A6" s="6" t="s">
        <v>9</v>
      </c>
      <c r="B6" s="7">
        <v>3.65</v>
      </c>
      <c r="C6" s="8" t="s">
        <v>7</v>
      </c>
      <c r="E6" s="4" t="s">
        <v>41</v>
      </c>
      <c r="F6" s="13">
        <f>SQRT(2/3)*J6</f>
        <v>1.3191268103521581</v>
      </c>
      <c r="G6" s="5" t="s">
        <v>30</v>
      </c>
      <c r="I6" s="4" t="s">
        <v>39</v>
      </c>
      <c r="J6" s="13">
        <f>F21</f>
        <v>1.615593795693951</v>
      </c>
      <c r="K6" s="5" t="s">
        <v>30</v>
      </c>
    </row>
    <row r="7" spans="1:15" ht="16.2" thickBot="1" x14ac:dyDescent="0.4">
      <c r="E7" s="4" t="s">
        <v>42</v>
      </c>
      <c r="F7" s="13">
        <f>SQRT(2/3)*J7</f>
        <v>17.636326148038883</v>
      </c>
      <c r="G7" s="5" t="s">
        <v>30</v>
      </c>
      <c r="I7" s="6" t="s">
        <v>40</v>
      </c>
      <c r="J7" s="14">
        <f>F22</f>
        <v>21.6</v>
      </c>
      <c r="K7" s="8" t="s">
        <v>30</v>
      </c>
    </row>
    <row r="8" spans="1:15" ht="15.6" x14ac:dyDescent="0.35">
      <c r="E8" s="4" t="s">
        <v>11</v>
      </c>
      <c r="F8" s="13">
        <f>SQRT(3)*F6*F3</f>
        <v>251.32741228718336</v>
      </c>
      <c r="G8" s="5" t="s">
        <v>43</v>
      </c>
    </row>
    <row r="9" spans="1:15" ht="16.2" thickBot="1" x14ac:dyDescent="0.4">
      <c r="E9" s="6" t="s">
        <v>12</v>
      </c>
      <c r="F9" s="14">
        <f>SQRT(3)*F2*F7</f>
        <v>366.93802193928775</v>
      </c>
      <c r="G9" s="8" t="s">
        <v>43</v>
      </c>
      <c r="H9" s="12"/>
    </row>
    <row r="12" spans="1:15" ht="15" thickBot="1" x14ac:dyDescent="0.35"/>
    <row r="13" spans="1:15" ht="15" thickBot="1" x14ac:dyDescent="0.35">
      <c r="A13" s="22" t="s">
        <v>19</v>
      </c>
      <c r="B13" s="23"/>
      <c r="C13" s="24"/>
      <c r="E13" s="18" t="s">
        <v>61</v>
      </c>
      <c r="F13" s="19"/>
      <c r="G13" s="20"/>
    </row>
    <row r="14" spans="1:15" ht="15.6" x14ac:dyDescent="0.35">
      <c r="A14" s="1" t="s">
        <v>6</v>
      </c>
      <c r="B14" s="2">
        <v>12</v>
      </c>
      <c r="C14" s="3" t="s">
        <v>7</v>
      </c>
      <c r="E14" s="4" t="s">
        <v>24</v>
      </c>
      <c r="F14" s="13">
        <f>J2</f>
        <v>16.222222222222221</v>
      </c>
      <c r="G14" s="5" t="s">
        <v>7</v>
      </c>
    </row>
    <row r="15" spans="1:15" ht="15.6" x14ac:dyDescent="0.35">
      <c r="A15" s="4" t="s">
        <v>10</v>
      </c>
      <c r="B15">
        <v>4</v>
      </c>
      <c r="C15" s="5"/>
      <c r="E15" s="4" t="s">
        <v>25</v>
      </c>
      <c r="F15" s="13">
        <f>J3</f>
        <v>148.55219216592252</v>
      </c>
      <c r="G15" s="5" t="s">
        <v>7</v>
      </c>
    </row>
    <row r="16" spans="1:15" ht="15.6" x14ac:dyDescent="0.35">
      <c r="A16" s="4" t="s">
        <v>8</v>
      </c>
      <c r="B16">
        <f>B5*B15</f>
        <v>10</v>
      </c>
      <c r="C16" s="5" t="s">
        <v>7</v>
      </c>
      <c r="E16" s="4" t="s">
        <v>26</v>
      </c>
      <c r="F16" s="13">
        <f>B16</f>
        <v>10</v>
      </c>
      <c r="G16" s="5" t="s">
        <v>7</v>
      </c>
    </row>
    <row r="17" spans="1:7" ht="15.6" x14ac:dyDescent="0.35">
      <c r="A17" s="4" t="s">
        <v>9</v>
      </c>
      <c r="B17">
        <f>B6*B15</f>
        <v>14.6</v>
      </c>
      <c r="C17" s="5" t="s">
        <v>7</v>
      </c>
      <c r="E17" s="4" t="s">
        <v>27</v>
      </c>
      <c r="F17" s="13">
        <f>B17</f>
        <v>14.6</v>
      </c>
      <c r="G17" s="5" t="s">
        <v>7</v>
      </c>
    </row>
    <row r="18" spans="1:7" ht="15.6" x14ac:dyDescent="0.35">
      <c r="A18" s="4" t="s">
        <v>11</v>
      </c>
      <c r="B18">
        <f>B16*B4</f>
        <v>240</v>
      </c>
      <c r="C18" s="5" t="s">
        <v>16</v>
      </c>
      <c r="E18" s="4" t="s">
        <v>28</v>
      </c>
      <c r="F18" s="13">
        <f>F16/J3</f>
        <v>6.7316408153914625E-2</v>
      </c>
      <c r="G18" s="5"/>
    </row>
    <row r="19" spans="1:7" ht="15.6" x14ac:dyDescent="0.35">
      <c r="A19" s="4" t="s">
        <v>12</v>
      </c>
      <c r="B19">
        <f>B17*B4</f>
        <v>350.4</v>
      </c>
      <c r="C19" s="5" t="s">
        <v>16</v>
      </c>
      <c r="E19" s="4" t="s">
        <v>34</v>
      </c>
      <c r="F19" s="13">
        <v>0.9</v>
      </c>
      <c r="G19" s="5"/>
    </row>
    <row r="20" spans="1:7" ht="15.6" x14ac:dyDescent="0.35">
      <c r="A20" s="4" t="s">
        <v>13</v>
      </c>
      <c r="B20" s="13">
        <f>B16/B4</f>
        <v>0.41666666666666669</v>
      </c>
      <c r="C20" s="9" t="s">
        <v>15</v>
      </c>
      <c r="E20" s="4" t="s">
        <v>29</v>
      </c>
      <c r="F20" s="13">
        <v>24</v>
      </c>
      <c r="G20" s="5" t="s">
        <v>30</v>
      </c>
    </row>
    <row r="21" spans="1:7" ht="16.2" thickBot="1" x14ac:dyDescent="0.4">
      <c r="A21" s="6" t="s">
        <v>14</v>
      </c>
      <c r="B21" s="14">
        <f>B17/B4</f>
        <v>0.60833333333333328</v>
      </c>
      <c r="C21" s="8" t="s">
        <v>15</v>
      </c>
      <c r="E21" s="4" t="s">
        <v>37</v>
      </c>
      <c r="F21" s="13">
        <f>F18*F20</f>
        <v>1.615593795693951</v>
      </c>
      <c r="G21" s="5" t="s">
        <v>30</v>
      </c>
    </row>
    <row r="22" spans="1:7" ht="15.6" x14ac:dyDescent="0.35">
      <c r="E22" s="4" t="s">
        <v>38</v>
      </c>
      <c r="F22" s="13">
        <f>F19*F20</f>
        <v>21.6</v>
      </c>
      <c r="G22" s="5" t="s">
        <v>30</v>
      </c>
    </row>
    <row r="23" spans="1:7" x14ac:dyDescent="0.3">
      <c r="E23" s="4" t="s">
        <v>47</v>
      </c>
      <c r="F23" s="13">
        <v>500</v>
      </c>
      <c r="G23" s="5" t="s">
        <v>48</v>
      </c>
    </row>
    <row r="24" spans="1:7" ht="15.6" x14ac:dyDescent="0.35">
      <c r="A24" s="21"/>
      <c r="B24" s="21"/>
      <c r="C24" s="21"/>
      <c r="E24" s="4" t="s">
        <v>54</v>
      </c>
      <c r="F24" s="13">
        <v>0.3</v>
      </c>
      <c r="G24" s="5"/>
    </row>
    <row r="25" spans="1:7" ht="15.6" x14ac:dyDescent="0.35">
      <c r="E25" s="4" t="s">
        <v>53</v>
      </c>
      <c r="F25" s="13">
        <v>0.01</v>
      </c>
      <c r="G25" s="5"/>
    </row>
    <row r="26" spans="1:7" ht="15.6" x14ac:dyDescent="0.35">
      <c r="E26" s="10" t="s">
        <v>55</v>
      </c>
      <c r="F26" s="13">
        <f>F24*F20</f>
        <v>7.1999999999999993</v>
      </c>
      <c r="G26" s="5" t="s">
        <v>30</v>
      </c>
    </row>
    <row r="27" spans="1:7" ht="16.2" thickBot="1" x14ac:dyDescent="0.4">
      <c r="E27" s="6" t="s">
        <v>56</v>
      </c>
      <c r="F27" s="14">
        <f>F25*F17</f>
        <v>0.14599999999999999</v>
      </c>
      <c r="G27" s="8" t="s">
        <v>7</v>
      </c>
    </row>
  </sheetData>
  <mergeCells count="7">
    <mergeCell ref="M1:O1"/>
    <mergeCell ref="A24:C24"/>
    <mergeCell ref="A1:C1"/>
    <mergeCell ref="E1:G1"/>
    <mergeCell ref="I1:K1"/>
    <mergeCell ref="A13:C13"/>
    <mergeCell ref="E13:G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b6129a-f613-4ff9-b238-21504ab3c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60838691862E40BA8A9FCF4672D404" ma:contentTypeVersion="8" ma:contentTypeDescription="Create a new document." ma:contentTypeScope="" ma:versionID="57f0f8c66996a8cfd8079b5f5cbc1044">
  <xsd:schema xmlns:xsd="http://www.w3.org/2001/XMLSchema" xmlns:xs="http://www.w3.org/2001/XMLSchema" xmlns:p="http://schemas.microsoft.com/office/2006/metadata/properties" xmlns:ns3="77b6129a-f613-4ff9-b238-21504ab3c311" xmlns:ns4="e5775723-78a2-49b3-980c-6ad0b4b03e58" targetNamespace="http://schemas.microsoft.com/office/2006/metadata/properties" ma:root="true" ma:fieldsID="97be24bc9c367c471a14e5d43da4af43" ns3:_="" ns4:_="">
    <xsd:import namespace="77b6129a-f613-4ff9-b238-21504ab3c311"/>
    <xsd:import namespace="e5775723-78a2-49b3-980c-6ad0b4b03e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6129a-f613-4ff9-b238-21504ab3c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723-78a2-49b3-980c-6ad0b4b03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69E919-C42D-4F67-B937-7A9547F935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BC3A52-AD3A-43AE-8534-9D4612682E08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e5775723-78a2-49b3-980c-6ad0b4b03e58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7b6129a-f613-4ff9-b238-21504ab3c3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10E196-854A-4018-94EA-77433BC9C3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6129a-f613-4ff9-b238-21504ab3c311"/>
    <ds:schemaRef ds:uri="e5775723-78a2-49b3-980c-6ad0b4b03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24V analysis</vt:lpstr>
      <vt:lpstr>12V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Sgroi, Zano</dc:creator>
  <cp:lastModifiedBy>Sgroi, Zano</cp:lastModifiedBy>
  <dcterms:created xsi:type="dcterms:W3CDTF">2026-06-09T02:45:35Z</dcterms:created>
  <dcterms:modified xsi:type="dcterms:W3CDTF">2026-06-23T22:42:13Z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0x0101009660838691862E40BA8A9FCF4672D404</vt:lpwstr>
  </property>
</Properties>
</file>