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razano\Acedemic\Research\Battery-Charger\Battery Charger Project\Docs\Data sheets\"/>
    </mc:Choice>
  </mc:AlternateContent>
  <xr:revisionPtr revIDLastSave="0" documentId="13_ncr:1_{F322EFB0-10F7-44F1-8DD3-AAF1D9BF4216}" xr6:coauthVersionLast="47" xr6:coauthVersionMax="47" xr10:uidLastSave="{00000000-0000-0000-0000-000000000000}"/>
  <bookViews>
    <workbookView xWindow="-96" yWindow="0" windowWidth="11712" windowHeight="12336" xr2:uid="{122414F2-41E6-48D7-A7EA-B912A1A3DD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3" i="1"/>
</calcChain>
</file>

<file path=xl/sharedStrings.xml><?xml version="1.0" encoding="utf-8"?>
<sst xmlns="http://schemas.openxmlformats.org/spreadsheetml/2006/main" count="7" uniqueCount="7">
  <si>
    <t>vdc</t>
  </si>
  <si>
    <t>hz</t>
  </si>
  <si>
    <t>A</t>
  </si>
  <si>
    <t>Pin</t>
  </si>
  <si>
    <t>RPM_G</t>
  </si>
  <si>
    <t>VLL_rms</t>
  </si>
  <si>
    <t>VLL_p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</si>
</sst>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Generator</a:t>
            </a:r>
            <a:r>
              <a:rPr lang="en-US" baseline="0"/>
              <a:t> Output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Sheet1!$G$3:$G$19</c:f>
              <c:numCache>
                <c:formatCode>General</c:formatCode>
                <c:ptCount val="17"/>
                <c:pt idx="0">
                  <c:v>7.31</c:v>
                </c:pt>
                <c:pt idx="1">
                  <c:v>11.75</c:v>
                </c:pt>
                <c:pt idx="2">
                  <c:v>16.670000000000002</c:v>
                </c:pt>
                <c:pt idx="3">
                  <c:v>21.75</c:v>
                </c:pt>
                <c:pt idx="4">
                  <c:v>29.96</c:v>
                </c:pt>
                <c:pt idx="5">
                  <c:v>33.299999999999997</c:v>
                </c:pt>
                <c:pt idx="6">
                  <c:v>38.75</c:v>
                </c:pt>
                <c:pt idx="7">
                  <c:v>43.99</c:v>
                </c:pt>
                <c:pt idx="8">
                  <c:v>48.99</c:v>
                </c:pt>
                <c:pt idx="9">
                  <c:v>54.36</c:v>
                </c:pt>
                <c:pt idx="10">
                  <c:v>59.8</c:v>
                </c:pt>
                <c:pt idx="11">
                  <c:v>65.260000000000005</c:v>
                </c:pt>
                <c:pt idx="12">
                  <c:v>70.569999999999993</c:v>
                </c:pt>
                <c:pt idx="13">
                  <c:v>75.150000000000006</c:v>
                </c:pt>
                <c:pt idx="14">
                  <c:v>80.489999999999995</c:v>
                </c:pt>
                <c:pt idx="15">
                  <c:v>85.73</c:v>
                </c:pt>
                <c:pt idx="16">
                  <c:v>92.01</c:v>
                </c:pt>
              </c:numCache>
            </c:numRef>
          </c:xVal>
          <c:yVal>
            <c:numRef>
              <c:f>Sheet1!$F$3:$F$19</c:f>
              <c:numCache>
                <c:formatCode>0.0</c:formatCode>
                <c:ptCount val="17"/>
                <c:pt idx="0">
                  <c:v>10.804591616530447</c:v>
                </c:pt>
                <c:pt idx="1">
                  <c:v>18.243354954612929</c:v>
                </c:pt>
                <c:pt idx="2">
                  <c:v>25.880108191427642</c:v>
                </c:pt>
                <c:pt idx="3">
                  <c:v>34.365389565666213</c:v>
                </c:pt>
                <c:pt idx="4">
                  <c:v>42.850670939904781</c:v>
                </c:pt>
                <c:pt idx="5">
                  <c:v>52.750165876516448</c:v>
                </c:pt>
                <c:pt idx="6">
                  <c:v>61.235447250755016</c:v>
                </c:pt>
                <c:pt idx="7">
                  <c:v>69.155043200044346</c:v>
                </c:pt>
                <c:pt idx="8">
                  <c:v>77.216060505570994</c:v>
                </c:pt>
                <c:pt idx="9">
                  <c:v>85.418499167334943</c:v>
                </c:pt>
                <c:pt idx="10">
                  <c:v>94.469465966522748</c:v>
                </c:pt>
                <c:pt idx="11">
                  <c:v>102.81332598452403</c:v>
                </c:pt>
                <c:pt idx="12">
                  <c:v>111.15718600252526</c:v>
                </c:pt>
                <c:pt idx="13">
                  <c:v>118.51109652686537</c:v>
                </c:pt>
                <c:pt idx="14">
                  <c:v>126.71353518862932</c:v>
                </c:pt>
                <c:pt idx="15">
                  <c:v>134.77455249415596</c:v>
                </c:pt>
                <c:pt idx="16">
                  <c:v>144.24978336205569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E0-446B-A0C5-294099B5AE5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770667856"/>
        <c:axId val="1392202064"/>
      </c:scatterChart>
      <c:valAx>
        <c:axId val="177066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Shaft</a:t>
                </a:r>
                <a:r>
                  <a:rPr lang="en-US" baseline="0"/>
                  <a:t> Frequency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02064"/>
        <c:crosses val="autoZero"/>
        <c:crossBetween val="midCat"/>
      </c:valAx>
      <c:valAx>
        <c:axId val="13922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VLL_p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66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4</xdr:row>
      <xdr:rowOff>65314</xdr:rowOff>
    </xdr:from>
    <xdr:to>
      <xdr:col>16</xdr:col>
      <xdr:colOff>359229</xdr:colOff>
      <xdr:row>19</xdr:row>
      <xdr:rowOff>32657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04826-A698-DFA8-6468-30C348719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E0B5-54E2-481D-808C-A42013EC5463}">
  <dimension ref="A2:G19"/>
  <sheetViews>
    <sheetView tabSelected="1" topLeftCell="C1" zoomScaleNormal="100" workbookViewId="0">
      <selection activeCell="M21" sqref="M21"/>
    </sheetView>
  </sheetViews>
  <sheetFormatPr defaultRowHeight="14.4" x14ac:dyDescent="0.3"/>
  <cols>
    <col min="4" max="4" width="11.88671875" customWidth="1"/>
    <col min="5" max="5" width="8.6640625" bestFit="1" customWidth="1"/>
    <col min="6" max="6" width="12" bestFit="1" customWidth="1"/>
    <col min="7" max="7" width="6" bestFit="1" customWidth="1"/>
  </cols>
  <sheetData>
    <row r="2" spans="1:7" ht="16.2" thickBot="1" x14ac:dyDescent="0.35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1</v>
      </c>
    </row>
    <row r="3" spans="1:7" ht="15" thickTop="1" x14ac:dyDescent="0.3">
      <c r="A3" s="2">
        <v>1.9</v>
      </c>
      <c r="B3" s="2">
        <v>2.2999999999999998</v>
      </c>
      <c r="C3" s="2">
        <f>A3*B3</f>
        <v>4.3699999999999992</v>
      </c>
      <c r="D3" s="2">
        <v>68</v>
      </c>
      <c r="E3" s="2">
        <v>7.64</v>
      </c>
      <c r="F3" s="4">
        <f>E3*SQRT(2)</f>
        <v>10.804591616530447</v>
      </c>
      <c r="G3" s="2">
        <v>7.31</v>
      </c>
    </row>
    <row r="4" spans="1:7" x14ac:dyDescent="0.3">
      <c r="A4" s="1">
        <v>2.4</v>
      </c>
      <c r="B4" s="1">
        <v>2.5499999999999998</v>
      </c>
      <c r="C4" s="1">
        <f t="shared" ref="C4:C19" si="0">A4*B4</f>
        <v>6.1199999999999992</v>
      </c>
      <c r="D4" s="1">
        <v>116</v>
      </c>
      <c r="E4" s="1">
        <v>12.9</v>
      </c>
      <c r="F4" s="5">
        <f t="shared" ref="F4:F19" si="1">E4*SQRT(2)</f>
        <v>18.243354954612929</v>
      </c>
      <c r="G4" s="1">
        <v>11.75</v>
      </c>
    </row>
    <row r="5" spans="1:7" x14ac:dyDescent="0.3">
      <c r="A5" s="1">
        <v>2.9</v>
      </c>
      <c r="B5" s="1">
        <v>2.65</v>
      </c>
      <c r="C5" s="1">
        <f t="shared" si="0"/>
        <v>7.6849999999999996</v>
      </c>
      <c r="D5" s="1">
        <v>166</v>
      </c>
      <c r="E5" s="1">
        <v>18.3</v>
      </c>
      <c r="F5" s="5">
        <f t="shared" si="1"/>
        <v>25.880108191427642</v>
      </c>
      <c r="G5" s="1">
        <v>16.670000000000002</v>
      </c>
    </row>
    <row r="6" spans="1:7" x14ac:dyDescent="0.3">
      <c r="A6" s="1">
        <v>3.4</v>
      </c>
      <c r="B6" s="1">
        <v>2.75</v>
      </c>
      <c r="C6" s="1">
        <f t="shared" si="0"/>
        <v>9.35</v>
      </c>
      <c r="D6" s="1">
        <v>217</v>
      </c>
      <c r="E6" s="1">
        <v>24.3</v>
      </c>
      <c r="F6" s="5">
        <f t="shared" si="1"/>
        <v>34.365389565666213</v>
      </c>
      <c r="G6" s="1">
        <v>21.75</v>
      </c>
    </row>
    <row r="7" spans="1:7" x14ac:dyDescent="0.3">
      <c r="A7" s="1">
        <v>3.9</v>
      </c>
      <c r="B7" s="1">
        <v>2.9</v>
      </c>
      <c r="C7" s="1">
        <f t="shared" si="0"/>
        <v>11.309999999999999</v>
      </c>
      <c r="D7" s="1">
        <v>268</v>
      </c>
      <c r="E7" s="1">
        <v>30.3</v>
      </c>
      <c r="F7" s="5">
        <f t="shared" si="1"/>
        <v>42.850670939904781</v>
      </c>
      <c r="G7" s="1">
        <v>29.96</v>
      </c>
    </row>
    <row r="8" spans="1:7" x14ac:dyDescent="0.3">
      <c r="A8" s="1">
        <v>4.5</v>
      </c>
      <c r="B8" s="1">
        <v>3</v>
      </c>
      <c r="C8" s="1">
        <f t="shared" si="0"/>
        <v>13.5</v>
      </c>
      <c r="D8" s="1">
        <v>333</v>
      </c>
      <c r="E8" s="1">
        <v>37.299999999999997</v>
      </c>
      <c r="F8" s="5">
        <f t="shared" si="1"/>
        <v>52.750165876516448</v>
      </c>
      <c r="G8" s="1">
        <v>33.299999999999997</v>
      </c>
    </row>
    <row r="9" spans="1:7" x14ac:dyDescent="0.3">
      <c r="A9" s="1">
        <v>5</v>
      </c>
      <c r="B9" s="1">
        <v>3</v>
      </c>
      <c r="C9" s="1">
        <f t="shared" si="0"/>
        <v>15</v>
      </c>
      <c r="D9" s="1">
        <v>388</v>
      </c>
      <c r="E9" s="1">
        <v>43.3</v>
      </c>
      <c r="F9" s="5">
        <f t="shared" si="1"/>
        <v>61.235447250755016</v>
      </c>
      <c r="G9" s="1">
        <v>38.75</v>
      </c>
    </row>
    <row r="10" spans="1:7" x14ac:dyDescent="0.3">
      <c r="A10" s="1">
        <v>5.5</v>
      </c>
      <c r="B10" s="1">
        <v>3.1</v>
      </c>
      <c r="C10" s="1">
        <f t="shared" si="0"/>
        <v>17.05</v>
      </c>
      <c r="D10" s="1">
        <v>440</v>
      </c>
      <c r="E10" s="1">
        <v>48.9</v>
      </c>
      <c r="F10" s="5">
        <f t="shared" si="1"/>
        <v>69.155043200044346</v>
      </c>
      <c r="G10" s="1">
        <v>43.99</v>
      </c>
    </row>
    <row r="11" spans="1:7" x14ac:dyDescent="0.3">
      <c r="A11" s="1">
        <v>6</v>
      </c>
      <c r="B11" s="1">
        <v>3.2</v>
      </c>
      <c r="C11" s="1">
        <f t="shared" si="0"/>
        <v>19.200000000000003</v>
      </c>
      <c r="D11" s="1">
        <v>490</v>
      </c>
      <c r="E11" s="1">
        <v>54.6</v>
      </c>
      <c r="F11" s="5">
        <f t="shared" si="1"/>
        <v>77.216060505570994</v>
      </c>
      <c r="G11" s="1">
        <v>48.99</v>
      </c>
    </row>
    <row r="12" spans="1:7" x14ac:dyDescent="0.3">
      <c r="A12" s="1">
        <v>6.5</v>
      </c>
      <c r="B12" s="1">
        <v>3.3</v>
      </c>
      <c r="C12" s="1">
        <f t="shared" si="0"/>
        <v>21.45</v>
      </c>
      <c r="D12" s="1">
        <v>545</v>
      </c>
      <c r="E12" s="1">
        <v>60.4</v>
      </c>
      <c r="F12" s="5">
        <f t="shared" si="1"/>
        <v>85.418499167334943</v>
      </c>
      <c r="G12" s="1">
        <v>54.36</v>
      </c>
    </row>
    <row r="13" spans="1:7" x14ac:dyDescent="0.3">
      <c r="A13" s="1">
        <v>7</v>
      </c>
      <c r="B13" s="1">
        <v>3.3</v>
      </c>
      <c r="C13" s="1">
        <f t="shared" si="0"/>
        <v>23.099999999999998</v>
      </c>
      <c r="D13" s="1">
        <v>597</v>
      </c>
      <c r="E13" s="1">
        <v>66.8</v>
      </c>
      <c r="F13" s="5">
        <f t="shared" si="1"/>
        <v>94.469465966522748</v>
      </c>
      <c r="G13" s="1">
        <v>59.8</v>
      </c>
    </row>
    <row r="14" spans="1:7" x14ac:dyDescent="0.3">
      <c r="A14" s="1">
        <v>7.5</v>
      </c>
      <c r="B14" s="1">
        <v>3.4</v>
      </c>
      <c r="C14" s="1">
        <f t="shared" si="0"/>
        <v>25.5</v>
      </c>
      <c r="D14" s="1">
        <v>653</v>
      </c>
      <c r="E14" s="1">
        <v>72.7</v>
      </c>
      <c r="F14" s="5">
        <f t="shared" si="1"/>
        <v>102.81332598452403</v>
      </c>
      <c r="G14" s="1">
        <v>65.260000000000005</v>
      </c>
    </row>
    <row r="15" spans="1:7" x14ac:dyDescent="0.3">
      <c r="A15" s="1">
        <v>8</v>
      </c>
      <c r="B15" s="1">
        <v>3.5</v>
      </c>
      <c r="C15" s="1">
        <f t="shared" si="0"/>
        <v>28</v>
      </c>
      <c r="D15" s="1">
        <v>705</v>
      </c>
      <c r="E15" s="1">
        <v>78.599999999999994</v>
      </c>
      <c r="F15" s="5">
        <f t="shared" si="1"/>
        <v>111.15718600252526</v>
      </c>
      <c r="G15" s="1">
        <v>70.569999999999993</v>
      </c>
    </row>
    <row r="16" spans="1:7" x14ac:dyDescent="0.3">
      <c r="A16" s="1">
        <v>8.5</v>
      </c>
      <c r="B16" s="1">
        <v>3.6</v>
      </c>
      <c r="C16" s="1">
        <f t="shared" si="0"/>
        <v>30.6</v>
      </c>
      <c r="D16" s="1">
        <v>753</v>
      </c>
      <c r="E16" s="1">
        <v>83.8</v>
      </c>
      <c r="F16" s="5">
        <f t="shared" si="1"/>
        <v>118.51109652686537</v>
      </c>
      <c r="G16" s="1">
        <v>75.150000000000006</v>
      </c>
    </row>
    <row r="17" spans="1:7" x14ac:dyDescent="0.3">
      <c r="A17" s="1">
        <v>9</v>
      </c>
      <c r="B17" s="1">
        <v>3.6</v>
      </c>
      <c r="C17" s="1">
        <f t="shared" si="0"/>
        <v>32.4</v>
      </c>
      <c r="D17" s="1">
        <v>805</v>
      </c>
      <c r="E17" s="1">
        <v>89.6</v>
      </c>
      <c r="F17" s="5">
        <f t="shared" si="1"/>
        <v>126.71353518862932</v>
      </c>
      <c r="G17" s="1">
        <v>80.489999999999995</v>
      </c>
    </row>
    <row r="18" spans="1:7" x14ac:dyDescent="0.3">
      <c r="A18" s="1">
        <v>9.5</v>
      </c>
      <c r="B18" s="1">
        <v>3.7</v>
      </c>
      <c r="C18" s="1">
        <f t="shared" si="0"/>
        <v>35.15</v>
      </c>
      <c r="D18" s="1">
        <v>858</v>
      </c>
      <c r="E18" s="1">
        <v>95.3</v>
      </c>
      <c r="F18" s="5">
        <f t="shared" si="1"/>
        <v>134.77455249415596</v>
      </c>
      <c r="G18" s="1">
        <v>85.73</v>
      </c>
    </row>
    <row r="19" spans="1:7" x14ac:dyDescent="0.3">
      <c r="A19" s="1">
        <v>10</v>
      </c>
      <c r="B19" s="1">
        <v>3.7</v>
      </c>
      <c r="C19" s="1">
        <f t="shared" si="0"/>
        <v>37</v>
      </c>
      <c r="D19" s="1">
        <v>918</v>
      </c>
      <c r="E19" s="1">
        <v>102</v>
      </c>
      <c r="F19" s="5">
        <f t="shared" si="1"/>
        <v>144.24978336205569</v>
      </c>
      <c r="G19" s="1">
        <v>92.01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8C9112DD8F15449225F064D66EBDFE" ma:contentTypeVersion="12" ma:contentTypeDescription="Create a new document." ma:contentTypeScope="" ma:versionID="b81720e2d1e30b7fbbac34e4ce0795be">
  <xsd:schema xmlns:xsd="http://www.w3.org/2001/XMLSchema" xmlns:xs="http://www.w3.org/2001/XMLSchema" xmlns:p="http://schemas.microsoft.com/office/2006/metadata/properties" xmlns:ns3="c971a386-8160-44b9-bb17-0adc33850141" xmlns:ns4="30c13f3f-6095-4dfb-a332-3c3ec0a6667d" targetNamespace="http://schemas.microsoft.com/office/2006/metadata/properties" ma:root="true" ma:fieldsID="ee2ef5a2c475d390c372d43812c0b725" ns3:_="" ns4:_="">
    <xsd:import namespace="c971a386-8160-44b9-bb17-0adc33850141"/>
    <xsd:import namespace="30c13f3f-6095-4dfb-a332-3c3ec0a666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1a386-8160-44b9-bb17-0adc33850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13f3f-6095-4dfb-a332-3c3ec0a666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203C4B-30FD-4C6C-B8C6-ADCEEC073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1DE57-DDF7-4F30-8FFA-8F3B9AD25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71a386-8160-44b9-bb17-0adc33850141"/>
    <ds:schemaRef ds:uri="30c13f3f-6095-4dfb-a332-3c3ec0a66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D59D59-3BCB-4346-B102-E258A62F5C73}">
  <ds:schemaRefs>
    <ds:schemaRef ds:uri="http://schemas.microsoft.com/office/2006/documentManagement/types"/>
    <ds:schemaRef ds:uri="c971a386-8160-44b9-bb17-0adc33850141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30c13f3f-6095-4dfb-a332-3c3ec0a6667d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McIntyre,Michael L</dc:creator>
  <cp:lastModifiedBy>Sgroi, Zano</cp:lastModifiedBy>
  <dcterms:created xsi:type="dcterms:W3CDTF">2021-05-20T17:44:31Z</dcterms:created>
  <dcterms:modified xsi:type="dcterms:W3CDTF">2026-09-28T16:12:32Z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0x010100828C9112DD8F15449225F064D66EBDFE</vt:lpwstr>
  </property>
</Properties>
</file>